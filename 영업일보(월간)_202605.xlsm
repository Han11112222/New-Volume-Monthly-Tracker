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대성에너지\마케팅기획팀\(구)영업현황\2026년 5월\"/>
    </mc:Choice>
  </mc:AlternateContent>
  <xr:revisionPtr revIDLastSave="0" documentId="13_ncr:1_{8839F916-7406-469D-A31D-FBCD61F56D4A}" xr6:coauthVersionLast="47" xr6:coauthVersionMax="47" xr10:uidLastSave="{00000000-0000-0000-0000-000000000000}"/>
  <bookViews>
    <workbookView xWindow="-120" yWindow="-120" windowWidth="29040" windowHeight="15720" activeTab="1" xr2:uid="{ADCDEAD1-A120-4116-9AF3-028F747416CF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분석'!$A$18:$F$18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14" l="1"/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S35" i="14" l="1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9" i="14" l="1"/>
  <c r="F17" i="14"/>
  <c r="F25" i="14"/>
  <c r="F33" i="14"/>
  <c r="F29" i="14"/>
  <c r="F30" i="14"/>
  <c r="F8" i="14"/>
  <c r="F23" i="14"/>
  <c r="F7" i="14"/>
  <c r="F24" i="14"/>
  <c r="F10" i="14"/>
  <c r="F18" i="14"/>
  <c r="F26" i="14"/>
  <c r="F34" i="14"/>
  <c r="F19" i="14"/>
  <c r="F27" i="14"/>
  <c r="F35" i="14"/>
  <c r="F20" i="14"/>
  <c r="F28" i="14"/>
  <c r="F36" i="14"/>
  <c r="F21" i="14"/>
  <c r="F37" i="14"/>
  <c r="F22" i="14"/>
  <c r="F31" i="14"/>
  <c r="F32" i="14"/>
  <c r="F11" i="14"/>
  <c r="F12" i="14"/>
  <c r="F13" i="14"/>
  <c r="F14" i="14"/>
  <c r="F15" i="14"/>
  <c r="F16" i="14"/>
  <c r="I37" i="14"/>
  <c r="J18" i="24"/>
  <c r="J20" i="24"/>
  <c r="K20" i="24"/>
  <c r="D13" i="27"/>
  <c r="Y5" i="14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L33" i="14"/>
  <c r="M33" i="14"/>
  <c r="J34" i="14"/>
  <c r="J35" i="14" s="1"/>
  <c r="J36" i="14" s="1"/>
  <c r="J37" i="14" s="1"/>
  <c r="Q34" i="14"/>
  <c r="P34" i="14"/>
  <c r="N37" i="14" l="1"/>
  <c r="M37" i="14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<sst xmlns="http://schemas.openxmlformats.org/spreadsheetml/2006/main" count="2502" uniqueCount="499">
  <si>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</si>
  <si>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</si>
  <si>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</si>
  <si>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</si>
  <si>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</si>
  <si>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</si>
  <si>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</si>
  <si>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</si>
  <si>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</si>
  <si>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</si>
  <si>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</si>
  <si>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</si>
  <si>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</si>
  <si>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</si>
  <si>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</si>
  <si>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</si>
  <si>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</si>
  <si>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</si>
  <si>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</si>
  <si>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</si>
  <si>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</si>
  <si>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</si>
  <si>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</si>
  <si>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</si>
  <si>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</si>
  <si>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</si>
  <si>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</si>
  <si>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</si>
  <si>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</si>
  <si>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</si>
  <si>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</si>
  <si>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</si>
  <si>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</si>
  <si>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</si>
  <si>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</si>
  <si>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</si>
  <si>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</si>
  <si>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</si>
  <si>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</si>
  <si>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</si>
  <si>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</si>
  <si>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</si>
  <si>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</si>
  <si>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</si>
  <si>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</si>
  <si>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</si>
  <si>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</si>
  <si>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</si>
  <si>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</si>
  <si>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</si>
  <si>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</si>
  <si>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</si>
  <si>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</si>
  <si>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</si>
  <si>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</si>
  <si>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</si>
  <si>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</si>
  <si>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</si>
  <si>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</si>
  <si>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</si>
  <si>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</si>
  <si>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</si>
  <si>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</si>
  <si>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</si>
  <si>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</si>
  <si>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</si>
  <si>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</si>
  <si>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</si>
  <si>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</si>
  <si>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</si>
  <si>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</si>
  <si>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</si>
  <si>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</si>
  <si>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</si>
  <si>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</si>
  <si>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</si>
  <si>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</si>
  <si>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</si>
  <si>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</si>
  <si>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</si>
  <si>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</si>
  <si>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</si>
  <si>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</si>
  <si>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</si>
  <si>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</si>
  <si>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</si>
  <si>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</si>
  <si>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</si>
  <si>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</si>
  <si>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</si>
  <si>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</si>
  <si>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</si>
  <si>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</si>
  <si>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</si>
  <si>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</si>
  <si>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</si>
  <si>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</si>
  <si>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</si>
  <si>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</si>
  <si>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</si>
  <si>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</si>
  <si>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</si>
  <si>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</si>
  <si>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</si>
  <si>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</si>
  <si>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</si>
  <si>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</si>
  <si>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</si>
  <si>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</si>
  <si>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</si>
  <si>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</si>
  <si>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</si>
  <si>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</si>
  <si>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</si>
  <si>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</si>
  <si>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</si>
  <si>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</si>
  <si>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</si>
  <si>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</si>
  <si>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</si>
  <si>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</si>
  <si>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</si>
  <si>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</si>
  <si>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</si>
  <si>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</si>
  <si>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</si>
  <si>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</si>
  <si>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</si>
  <si>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</si>
  <si>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</si>
  <si>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</si>
  <si>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</si>
  <si>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</si>
  <si>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</si>
  <si>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</si>
  <si>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</si>
  <si>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</si>
  <si>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</si>
  <si>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</si>
  <si>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</si>
  <si>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</si>
  <si>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</si>
  <si>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</si>
  <si>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</si>
  <si>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</si>
  <si>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</si>
  <si>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</si>
  <si>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</si>
  <si>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</si>
  <si>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</si>
  <si>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</si>
  <si>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</si>
  <si>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</si>
  <si>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</si>
  <si>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</si>
  <si>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</si>
  <si>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</si>
  <si>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</si>
  <si>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</si>
  <si>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</si>
  <si>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</si>
  <si>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</si>
  <si>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</si>
  <si>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</si>
  <si>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</si>
  <si>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</si>
  <si>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</si>
  <si>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</si>
  <si>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</si>
  <si>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</si>
  <si>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</si>
  <si>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</si>
  <si>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</si>
  <si>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</si>
  <si>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</si>
  <si>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</si>
  <si>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</si>
  <si>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</si>
  <si>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</si>
  <si>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</si>
  <si>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</si>
  <si>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</si>
  <si>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</si>
  <si>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</si>
  <si>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</si>
  <si>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</si>
  <si>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</si>
  <si>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</si>
  <si>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</si>
  <si>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</si>
  <si>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</si>
  <si>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</si>
  <si>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</si>
  <si>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</si>
  <si>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</si>
  <si>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</si>
  <si>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</si>
  <si>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</si>
  <si>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</si>
  <si>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</si>
  <si>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</si>
  <si>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</si>
  <si>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</si>
  <si>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</si>
  <si>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</si>
  <si>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</si>
  <si>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</si>
  <si>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</si>
  <si>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</si>
  <si>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</si>
  <si>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</si>
  <si>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</si>
  <si>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</si>
  <si>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</si>
  <si>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</si>
  <si>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</si>
  <si>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</si>
  <si>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</si>
  <si>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</si>
  <si>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</si>
  <si>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</si>
  <si>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</si>
  <si>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</si>
  <si>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</si>
  <si>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</si>
  <si>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</si>
  <si>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</si>
  <si>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</si>
  <si>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</si>
  <si>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</si>
  <si>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</si>
  <si>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</si>
  <si>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</si>
  <si>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</si>
  <si>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</si>
  <si>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</si>
  <si>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</si>
  <si>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</si>
  <si>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</si>
  <si>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</si>
  <si>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</si>
  <si>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</si>
  <si>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</si>
  <si>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</si>
  <si>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</si>
  <si>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</si>
  <si>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</si>
  <si>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</si>
  <si>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</si>
  <si>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</si>
  <si>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</si>
  <si>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</si>
  <si>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</si>
  <si>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</si>
  <si>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</si>
  <si>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</si>
  <si>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</si>
  <si>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</si>
  <si>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</si>
  <si>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</si>
  <si>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</si>
  <si>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</si>
  <si>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</si>
  <si>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</si>
  <si>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</si>
  <si>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</si>
  <si>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</si>
  <si>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</si>
  <si>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</si>
  <si>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</si>
  <si>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</si>
  <si>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</si>
  <si>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</si>
  <si>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</si>
  <si>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</si>
  <si>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</si>
  <si>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</si>
  <si>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</si>
  <si>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</si>
  <si>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</si>
  <si>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</si>
  <si>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</si>
  <si>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</si>
  <si>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</si>
  <si>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</si>
  <si>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</si>
  <si>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</si>
  <si>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</si>
  <si>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</si>
  <si>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</si>
  <si>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</si>
  <si>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</si>
  <si>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</si>
  <si>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</si>
  <si>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</si>
  <si>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</si>
  <si>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</si>
  <si>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</si>
  <si>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</si>
  <si>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</si>
  <si>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</si>
  <si>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</si>
  <si>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</si>
  <si>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</si>
  <si>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</si>
  <si>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</si>
  <si>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</si>
  <si>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</si>
  <si>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</si>
  <si>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</si>
  <si>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</si>
  <si>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</si>
  <si>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</si>
  <si>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</si>
  <si>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</si>
  <si>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</si>
  <si>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</si>
  <si>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</si>
  <si>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</si>
  <si>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</si>
  <si>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</si>
  <si>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</si>
  <si>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</si>
  <si>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</si>
  <si>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</si>
  <si>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</si>
  <si>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</si>
  <si>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</si>
  <si>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</si>
  <si>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</si>
  <si>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</si>
  <si>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</si>
  <si>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</si>
  <si>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</si>
  <si>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</si>
  <si>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</si>
  <si>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</si>
  <si>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</si>
  <si>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</si>
  <si>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</si>
  <si>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</si>
  <si>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</si>
  <si>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</si>
  <si>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</si>
  <si>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</si>
  <si>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</si>
  <si>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</si>
  <si>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</si>
  <si>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</si>
  <si>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</si>
  <si>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</si>
  <si>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</si>
  <si>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</si>
  <si>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</si>
  <si>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</si>
  <si>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</si>
  <si>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</si>
  <si>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</si>
  <si>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</si>
  <si>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</si>
  <si>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</si>
  <si>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</si>
  <si>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</si>
  <si>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</si>
  <si>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</si>
  <si>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</si>
  <si>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</si>
  <si>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</si>
  <si>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</si>
  <si>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</si>
  <si>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</si>
  <si>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</si>
  <si>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</si>
  <si>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</si>
  <si>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</si>
  <si>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</si>
  <si>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</si>
  <si>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</si>
  <si>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</si>
  <si>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</si>
  <si>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</si>
  <si>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</si>
  <si>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</si>
  <si>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</si>
  <si>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</si>
  <si>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</si>
  <si>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</si>
  <si>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</si>
  <si>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</si>
  <si>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</si>
  <si>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</si>
  <si>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</si>
  <si>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</si>
  <si>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</si>
  <si>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</si>
  <si>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</si>
  <si>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</si>
  <si>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</si>
  <si>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</si>
  <si>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</si>
  <si>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</si>
  <si>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</si>
  <si>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</si>
  <si>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</si>
  <si>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</si>
  <si>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</si>
  <si>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</si>
  <si>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</si>
  <si>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</si>
  <si>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</si>
  <si>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</si>
  <si>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</si>
  <si>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</si>
  <si>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</si>
  <si>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</si>
  <si>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</si>
  <si>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</si>
  <si>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</si>
  <si>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</si>
  <si>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</si>
  <si>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</si>
  <si>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</si>
  <si>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</si>
  <si>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</si>
  <si>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</si>
  <si>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</si>
  <si>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</si>
  <si>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</si>
  <si>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</si>
  <si>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</si>
  <si>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</si>
  <si>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</si>
  <si>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</si>
  <si>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</si>
  <si>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</si>
  <si>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</si>
  <si>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</si>
  <si>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</si>
  <si>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</si>
  <si>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</si>
  <si>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</si>
  <si>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</si>
  <si>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</si>
  <si>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</si>
  <si>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</si>
  <si>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</si>
  <si>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</si>
  <si>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</si>
  <si>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</si>
  <si>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</si>
  <si>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</si>
  <si>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</si>
  <si>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</si>
  <si>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</si>
  <si>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</si>
  <si>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</si>
  <si>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</si>
  <si>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</si>
  <si>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</si>
  <si>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</si>
  <si>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</si>
  <si>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</si>
  <si>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</si>
  <si>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</si>
  <si>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</si>
  <si>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</si>
  <si>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</si>
  <si>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</si>
  <si>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</si>
  <si>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</si>
  <si>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</si>
  <si>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</si>
  <si>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</si>
  <si>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</si>
  <si>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</si>
  <si>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</si>
  <si>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</si>
  <si>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</si>
  <si>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</si>
  <si>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</si>
  <si>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</si>
  <si>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</si>
  <si>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</si>
  <si>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</si>
  <si>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힐스테이트대명센트럴2차</t>
  </si>
  <si>
    <t>송현효요양병원</t>
  </si>
  <si>
    <t>UM07315629</t>
  </si>
  <si>
    <t>UM07315630</t>
  </si>
  <si>
    <t>일반용(1)</t>
  </si>
  <si>
    <t>달성군청</t>
  </si>
  <si>
    <t>영남대학교</t>
  </si>
  <si>
    <t>UM06109215</t>
  </si>
  <si>
    <t>아이엠씨엔드밀</t>
  </si>
  <si>
    <t>대구영지교회 외</t>
  </si>
  <si>
    <t>수피트니스</t>
  </si>
  <si>
    <t>엔젤어린이집</t>
  </si>
  <si>
    <t>입원실에서 직원 휴게공간 변경, 난방 불필요</t>
    <phoneticPr fontId="38" type="noConversion"/>
  </si>
  <si>
    <t>요리 실습실 철거</t>
    <phoneticPr fontId="38" type="noConversion"/>
  </si>
  <si>
    <t>EHP 전환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</si>
</sst>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10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0" fontId="17" fillId="37" borderId="44" xfId="752" applyFont="1" applyFill="1" applyBorder="1" applyAlignment="1">
      <alignment horizontal="center" vertical="center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0" fontId="21" fillId="0" borderId="0" xfId="752" applyFont="1" applyAlignment="1">
      <alignment horizontal="left" vertical="center"/>
    </xf>
    <xf numFmtId="179" fontId="17" fillId="0" borderId="44" xfId="752" applyNumberFormat="1" applyFont="1" applyBorder="1" applyAlignment="1">
      <alignment horizontal="center" vertical="center"/>
    </xf>
    <xf numFmtId="179" fontId="17" fillId="0" borderId="32" xfId="752" applyNumberFormat="1" applyFont="1" applyBorder="1" applyAlignment="1">
      <alignment horizontal="center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  <xf numFmtId="179" fontId="75" fillId="0" borderId="32" xfId="562" applyNumberFormat="1" applyFont="1" applyBorder="1" applyAlignment="1">
      <alignment vertical="center" shrinkToFi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3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87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4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89;&#50629;&#54788;&#54889;_2026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46173</v>
          </cell>
        </row>
        <row r="5">
          <cell r="C5">
            <v>828548</v>
          </cell>
          <cell r="D5">
            <v>518892</v>
          </cell>
          <cell r="E5">
            <v>1347440</v>
          </cell>
          <cell r="F5">
            <v>30886</v>
          </cell>
          <cell r="G5">
            <v>12056</v>
          </cell>
          <cell r="H5">
            <v>1571</v>
          </cell>
          <cell r="I5">
            <v>47</v>
          </cell>
          <cell r="J5">
            <v>1392000</v>
          </cell>
        </row>
        <row r="6">
          <cell r="C6">
            <v>32327</v>
          </cell>
          <cell r="D6">
            <v>41630</v>
          </cell>
          <cell r="E6">
            <v>73957</v>
          </cell>
          <cell r="F6">
            <v>5103</v>
          </cell>
          <cell r="G6">
            <v>2455</v>
          </cell>
          <cell r="H6">
            <v>760</v>
          </cell>
          <cell r="I6">
            <v>26</v>
          </cell>
          <cell r="J6">
            <v>82301</v>
          </cell>
        </row>
        <row r="7">
          <cell r="C7">
            <v>32336</v>
          </cell>
          <cell r="D7">
            <v>41646</v>
          </cell>
          <cell r="E7">
            <v>73982</v>
          </cell>
          <cell r="F7">
            <v>5116</v>
          </cell>
          <cell r="G7">
            <v>2467</v>
          </cell>
          <cell r="H7">
            <v>760</v>
          </cell>
          <cell r="I7">
            <v>26</v>
          </cell>
          <cell r="J7">
            <v>82351</v>
          </cell>
        </row>
        <row r="8">
          <cell r="C8">
            <v>9</v>
          </cell>
          <cell r="D8">
            <v>16</v>
          </cell>
          <cell r="E8">
            <v>25</v>
          </cell>
          <cell r="F8">
            <v>13</v>
          </cell>
          <cell r="G8">
            <v>12</v>
          </cell>
          <cell r="H8">
            <v>0</v>
          </cell>
          <cell r="I8">
            <v>0</v>
          </cell>
          <cell r="J8">
            <v>50</v>
          </cell>
        </row>
        <row r="9">
          <cell r="C9">
            <v>160</v>
          </cell>
          <cell r="D9">
            <v>120</v>
          </cell>
          <cell r="E9">
            <v>280</v>
          </cell>
          <cell r="F9">
            <v>46</v>
          </cell>
          <cell r="G9">
            <v>10</v>
          </cell>
          <cell r="H9">
            <v>2</v>
          </cell>
          <cell r="I9">
            <v>0</v>
          </cell>
          <cell r="J9">
            <v>338</v>
          </cell>
        </row>
        <row r="10">
          <cell r="C10">
            <v>828708</v>
          </cell>
          <cell r="D10">
            <v>519012</v>
          </cell>
          <cell r="E10">
            <v>1347720</v>
          </cell>
          <cell r="F10">
            <v>30932</v>
          </cell>
          <cell r="G10">
            <v>12066</v>
          </cell>
          <cell r="H10">
            <v>1573</v>
          </cell>
          <cell r="I10">
            <v>47</v>
          </cell>
          <cell r="J10">
            <v>1392338</v>
          </cell>
        </row>
        <row r="11">
          <cell r="C11">
            <v>827178</v>
          </cell>
          <cell r="D11">
            <v>509850</v>
          </cell>
          <cell r="E11">
            <v>1337028</v>
          </cell>
          <cell r="F11">
            <v>33385</v>
          </cell>
          <cell r="G11">
            <v>14581</v>
          </cell>
          <cell r="H11">
            <v>1524</v>
          </cell>
          <cell r="I11">
            <v>128</v>
          </cell>
          <cell r="J11">
            <v>1386646</v>
          </cell>
        </row>
        <row r="15">
          <cell r="C15">
            <v>1294</v>
          </cell>
          <cell r="D15">
            <v>-77</v>
          </cell>
          <cell r="E15">
            <v>1217</v>
          </cell>
          <cell r="F15">
            <v>44</v>
          </cell>
          <cell r="G15">
            <v>-4</v>
          </cell>
          <cell r="H15">
            <v>2</v>
          </cell>
          <cell r="I15">
            <v>0</v>
          </cell>
          <cell r="J15">
            <v>1259</v>
          </cell>
        </row>
        <row r="16">
          <cell r="C16">
            <v>828472</v>
          </cell>
          <cell r="D16">
            <v>509773</v>
          </cell>
          <cell r="E16">
            <v>1338245</v>
          </cell>
          <cell r="F16">
            <v>33429</v>
          </cell>
          <cell r="G16">
            <v>14577</v>
          </cell>
          <cell r="H16">
            <v>1526</v>
          </cell>
          <cell r="I16">
            <v>128</v>
          </cell>
          <cell r="J16">
            <v>1387905</v>
          </cell>
        </row>
        <row r="17">
          <cell r="C17">
            <v>812448</v>
          </cell>
          <cell r="D17">
            <v>504809</v>
          </cell>
          <cell r="E17">
            <v>1317257</v>
          </cell>
          <cell r="F17">
            <v>28806</v>
          </cell>
          <cell r="G17">
            <v>14175</v>
          </cell>
          <cell r="H17">
            <v>1448</v>
          </cell>
          <cell r="I17">
            <v>122</v>
          </cell>
          <cell r="J17">
            <v>1361808</v>
          </cell>
        </row>
        <row r="19">
          <cell r="C19">
            <v>4</v>
          </cell>
          <cell r="D19">
            <v>-20</v>
          </cell>
          <cell r="E19">
            <v>-16</v>
          </cell>
          <cell r="F19">
            <v>16</v>
          </cell>
          <cell r="G19">
            <v>-1</v>
          </cell>
          <cell r="H19">
            <v>1</v>
          </cell>
          <cell r="I19">
            <v>0</v>
          </cell>
          <cell r="J19">
            <v>0</v>
          </cell>
        </row>
        <row r="20">
          <cell r="C20">
            <v>9</v>
          </cell>
          <cell r="D20">
            <v>16</v>
          </cell>
          <cell r="E20">
            <v>25</v>
          </cell>
          <cell r="F20">
            <v>13</v>
          </cell>
          <cell r="G20">
            <v>12</v>
          </cell>
          <cell r="H20">
            <v>0</v>
          </cell>
          <cell r="I20">
            <v>0</v>
          </cell>
          <cell r="J20">
            <v>50</v>
          </cell>
        </row>
        <row r="21">
          <cell r="C21">
            <v>1974</v>
          </cell>
          <cell r="D21">
            <v>-41</v>
          </cell>
          <cell r="E21">
            <v>1933</v>
          </cell>
          <cell r="F21">
            <v>48</v>
          </cell>
          <cell r="G21">
            <v>-5</v>
          </cell>
          <cell r="H21">
            <v>4</v>
          </cell>
          <cell r="I21">
            <v>0</v>
          </cell>
          <cell r="J21">
            <v>1980</v>
          </cell>
        </row>
        <row r="22">
          <cell r="C22">
            <v>814422</v>
          </cell>
          <cell r="D22">
            <v>504768</v>
          </cell>
          <cell r="E22">
            <v>1319190</v>
          </cell>
          <cell r="F22">
            <v>28854</v>
          </cell>
          <cell r="G22">
            <v>14170</v>
          </cell>
          <cell r="H22">
            <v>1452</v>
          </cell>
          <cell r="I22">
            <v>122</v>
          </cell>
          <cell r="J22">
            <v>1363788</v>
          </cell>
        </row>
        <row r="27">
          <cell r="C27">
            <v>1610</v>
          </cell>
          <cell r="D27">
            <v>115</v>
          </cell>
          <cell r="F27">
            <v>56</v>
          </cell>
          <cell r="G27">
            <v>19</v>
          </cell>
          <cell r="H27">
            <v>1</v>
          </cell>
          <cell r="I27">
            <v>0</v>
          </cell>
        </row>
        <row r="32">
          <cell r="C32">
            <v>0</v>
          </cell>
          <cell r="D32">
            <v>-27</v>
          </cell>
          <cell r="F32">
            <v>-10</v>
          </cell>
          <cell r="G32">
            <v>-11</v>
          </cell>
          <cell r="H32">
            <v>0</v>
          </cell>
          <cell r="I32">
            <v>0</v>
          </cell>
        </row>
        <row r="33">
          <cell r="C33">
            <v>4</v>
          </cell>
          <cell r="D33">
            <v>7</v>
          </cell>
          <cell r="F33">
            <v>26</v>
          </cell>
          <cell r="G33">
            <v>10</v>
          </cell>
          <cell r="H33">
            <v>1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workbookViewId="0">
      <selection activeCell="H7" sqref="H7"/>
    </sheetView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1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46173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737" t="s">
        <v>75</v>
      </c>
      <c r="B3" s="738"/>
      <c r="C3" s="46" t="s">
        <v>76</v>
      </c>
      <c r="D3" s="44"/>
      <c r="E3" s="44"/>
      <c r="F3" s="741" t="s">
        <v>77</v>
      </c>
      <c r="G3" s="741" t="s">
        <v>78</v>
      </c>
      <c r="H3" s="741" t="s">
        <v>1</v>
      </c>
      <c r="I3" s="743" t="s">
        <v>79</v>
      </c>
      <c r="J3" s="735" t="s">
        <v>80</v>
      </c>
      <c r="L3" s="245"/>
    </row>
    <row r="4" spans="1:19" s="20" customFormat="1" ht="30" customHeight="1" thickBot="1" x14ac:dyDescent="0.2">
      <c r="A4" s="739"/>
      <c r="B4" s="740"/>
      <c r="C4" s="47" t="s">
        <v>81</v>
      </c>
      <c r="D4" s="45" t="s">
        <v>82</v>
      </c>
      <c r="E4" s="45" t="s">
        <v>2</v>
      </c>
      <c r="F4" s="742"/>
      <c r="G4" s="742"/>
      <c r="H4" s="742"/>
      <c r="I4" s="742"/>
      <c r="J4" s="736"/>
      <c r="L4" s="245"/>
    </row>
    <row r="5" spans="1:19" s="20" customFormat="1" ht="33" customHeight="1" thickTop="1" x14ac:dyDescent="0.15">
      <c r="A5" s="758" t="s">
        <v>83</v>
      </c>
      <c r="B5" s="54" t="s">
        <v>84</v>
      </c>
      <c r="C5" s="48">
        <f>[1]영업현황!C5</f>
        <v>828548</v>
      </c>
      <c r="D5" s="36">
        <f>[1]영업현황!D5</f>
        <v>518892</v>
      </c>
      <c r="E5" s="37">
        <f>[1]영업현황!E5</f>
        <v>1347440</v>
      </c>
      <c r="F5" s="36">
        <f>[1]영업현황!F5</f>
        <v>30886</v>
      </c>
      <c r="G5" s="36">
        <f>[1]영업현황!G5</f>
        <v>12056</v>
      </c>
      <c r="H5" s="36">
        <f>[1]영업현황!H5</f>
        <v>1571</v>
      </c>
      <c r="I5" s="36">
        <f>[1]영업현황!I5</f>
        <v>47</v>
      </c>
      <c r="J5" s="38">
        <f>[1]영업현황!J5</f>
        <v>1392000</v>
      </c>
      <c r="K5" s="20">
        <v>0</v>
      </c>
      <c r="L5" s="246">
        <f>MONTH(A2)-1</f>
        <v>4</v>
      </c>
      <c r="M5" s="247" t="s">
        <v>310</v>
      </c>
      <c r="N5" s="248"/>
    </row>
    <row r="6" spans="1:19" s="20" customFormat="1" ht="33" customHeight="1" x14ac:dyDescent="0.15">
      <c r="A6" s="746"/>
      <c r="B6" s="204" t="s">
        <v>85</v>
      </c>
      <c r="C6" s="205">
        <f>[1]영업현황!C6</f>
        <v>32327</v>
      </c>
      <c r="D6" s="206">
        <f>[1]영업현황!D6</f>
        <v>41630</v>
      </c>
      <c r="E6" s="207">
        <f>[1]영업현황!E6</f>
        <v>73957</v>
      </c>
      <c r="F6" s="207">
        <f>[1]영업현황!F6</f>
        <v>5103</v>
      </c>
      <c r="G6" s="207">
        <f>[1]영업현황!G6</f>
        <v>2455</v>
      </c>
      <c r="H6" s="207">
        <f>[1]영업현황!H6</f>
        <v>760</v>
      </c>
      <c r="I6" s="207">
        <f>[1]영업현황!I6</f>
        <v>26</v>
      </c>
      <c r="J6" s="208">
        <f>[1]영업현황!J6</f>
        <v>82301</v>
      </c>
      <c r="L6" s="246">
        <f>L5</f>
        <v>4</v>
      </c>
      <c r="M6" s="247" t="s">
        <v>311</v>
      </c>
      <c r="N6" s="248"/>
    </row>
    <row r="7" spans="1:19" s="20" customFormat="1" ht="33" customHeight="1" x14ac:dyDescent="0.15">
      <c r="A7" s="746"/>
      <c r="B7" s="204" t="s">
        <v>86</v>
      </c>
      <c r="C7" s="205">
        <f>[1]영업현황!C7</f>
        <v>32336</v>
      </c>
      <c r="D7" s="209">
        <f>[1]영업현황!D7</f>
        <v>41646</v>
      </c>
      <c r="E7" s="207">
        <f>[1]영업현황!E7</f>
        <v>73982</v>
      </c>
      <c r="F7" s="207">
        <f>[1]영업현황!F7</f>
        <v>5116</v>
      </c>
      <c r="G7" s="210">
        <f>[1]영업현황!G7</f>
        <v>2467</v>
      </c>
      <c r="H7" s="211">
        <f>[1]영업현황!H7</f>
        <v>760</v>
      </c>
      <c r="I7" s="207">
        <f>[1]영업현황!I7</f>
        <v>26</v>
      </c>
      <c r="J7" s="208">
        <f>[1]영업현황!J7</f>
        <v>82351</v>
      </c>
      <c r="L7" s="448">
        <f>A2</f>
        <v>46173</v>
      </c>
      <c r="M7" s="249" t="s">
        <v>312</v>
      </c>
      <c r="N7" s="250"/>
    </row>
    <row r="8" spans="1:19" s="20" customFormat="1" ht="33" customHeight="1" x14ac:dyDescent="0.15">
      <c r="A8" s="746"/>
      <c r="B8" s="204" t="s">
        <v>300</v>
      </c>
      <c r="C8" s="251">
        <f>[1]영업현황!C8</f>
        <v>9</v>
      </c>
      <c r="D8" s="252">
        <f>[1]영업현황!D8</f>
        <v>16</v>
      </c>
      <c r="E8" s="253">
        <f>[1]영업현황!E8</f>
        <v>25</v>
      </c>
      <c r="F8" s="253">
        <f>[1]영업현황!F8</f>
        <v>13</v>
      </c>
      <c r="G8" s="253">
        <f>[1]영업현황!G8</f>
        <v>12</v>
      </c>
      <c r="H8" s="253">
        <f>[1]영업현황!H8</f>
        <v>0</v>
      </c>
      <c r="I8" s="253">
        <f>[1]영업현황!I8</f>
        <v>0</v>
      </c>
      <c r="J8" s="254">
        <f>[1]영업현황!J8</f>
        <v>50</v>
      </c>
      <c r="L8" s="245"/>
      <c r="M8" s="114"/>
    </row>
    <row r="9" spans="1:19" s="20" customFormat="1" ht="33" customHeight="1" x14ac:dyDescent="0.15">
      <c r="A9" s="746"/>
      <c r="B9" s="212" t="s">
        <v>87</v>
      </c>
      <c r="C9" s="119">
        <f>[1]영업현황!C9</f>
        <v>160</v>
      </c>
      <c r="D9" s="120">
        <f>[1]영업현황!D9</f>
        <v>120</v>
      </c>
      <c r="E9" s="121">
        <f>[1]영업현황!E9</f>
        <v>280</v>
      </c>
      <c r="F9" s="120">
        <f>[1]영업현황!F9</f>
        <v>46</v>
      </c>
      <c r="G9" s="120">
        <f>[1]영업현황!G9</f>
        <v>10</v>
      </c>
      <c r="H9" s="120">
        <f>[1]영업현황!H9</f>
        <v>2</v>
      </c>
      <c r="I9" s="120">
        <f>[1]영업현황!I9</f>
        <v>0</v>
      </c>
      <c r="J9" s="122">
        <f>[1]영업현황!J9</f>
        <v>338</v>
      </c>
      <c r="L9" s="255"/>
      <c r="M9" s="744" t="s">
        <v>313</v>
      </c>
      <c r="N9" s="744"/>
    </row>
    <row r="10" spans="1:19" s="20" customFormat="1" ht="33" customHeight="1" thickBot="1" x14ac:dyDescent="0.2">
      <c r="A10" s="747"/>
      <c r="B10" s="55" t="s">
        <v>88</v>
      </c>
      <c r="C10" s="50">
        <f>[1]영업현황!C10</f>
        <v>828708</v>
      </c>
      <c r="D10" s="29">
        <f>[1]영업현황!D10</f>
        <v>519012</v>
      </c>
      <c r="E10" s="32">
        <f>[1]영업현황!E10</f>
        <v>1347720</v>
      </c>
      <c r="F10" s="30">
        <f>[1]영업현황!F10</f>
        <v>30932</v>
      </c>
      <c r="G10" s="30">
        <f>[1]영업현황!G10</f>
        <v>12066</v>
      </c>
      <c r="H10" s="30">
        <f>[1]영업현황!H10</f>
        <v>1573</v>
      </c>
      <c r="I10" s="30">
        <f>[1]영업현황!I10</f>
        <v>47</v>
      </c>
      <c r="J10" s="31">
        <f>[1]영업현황!J10</f>
        <v>1392338</v>
      </c>
      <c r="K10" s="20">
        <v>13</v>
      </c>
      <c r="L10" s="448">
        <f>L7</f>
        <v>46173</v>
      </c>
      <c r="M10" s="249" t="s">
        <v>350</v>
      </c>
      <c r="N10" s="250"/>
      <c r="O10" s="28"/>
    </row>
    <row r="11" spans="1:19" s="20" customFormat="1" ht="33" customHeight="1" x14ac:dyDescent="0.15">
      <c r="A11" s="745" t="s">
        <v>89</v>
      </c>
      <c r="B11" s="56" t="s">
        <v>84</v>
      </c>
      <c r="C11" s="51">
        <f>[1]영업현황!C11</f>
        <v>827178</v>
      </c>
      <c r="D11" s="39">
        <f>[1]영업현황!D11</f>
        <v>509850</v>
      </c>
      <c r="E11" s="39">
        <f>[1]영업현황!E11</f>
        <v>1337028</v>
      </c>
      <c r="F11" s="40">
        <f>[1]영업현황!F11</f>
        <v>33385</v>
      </c>
      <c r="G11" s="40">
        <f>[1]영업현황!G11</f>
        <v>14581</v>
      </c>
      <c r="H11" s="40">
        <f>[1]영업현황!H11</f>
        <v>1524</v>
      </c>
      <c r="I11" s="40">
        <f>[1]영업현황!I11</f>
        <v>128</v>
      </c>
      <c r="J11" s="41">
        <f>[1]영업현황!J11</f>
        <v>1386646</v>
      </c>
      <c r="L11" s="246">
        <f>L5</f>
        <v>4</v>
      </c>
      <c r="M11" s="247" t="s">
        <v>351</v>
      </c>
      <c r="N11" s="248"/>
    </row>
    <row r="12" spans="1:19" s="20" customFormat="1" ht="33" customHeight="1" x14ac:dyDescent="0.15">
      <c r="A12" s="746"/>
      <c r="B12" s="748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746"/>
      <c r="B13" s="749" t="s">
        <v>33</v>
      </c>
      <c r="C13" s="49"/>
      <c r="D13" s="22"/>
      <c r="E13" s="25"/>
      <c r="F13" s="24"/>
      <c r="G13" s="26"/>
      <c r="H13" s="27"/>
      <c r="I13" s="214"/>
      <c r="J13" s="562"/>
      <c r="L13" s="245"/>
      <c r="M13" s="114"/>
    </row>
    <row r="14" spans="1:19" s="20" customFormat="1" ht="33" customHeight="1" x14ac:dyDescent="0.15">
      <c r="A14" s="746"/>
      <c r="B14" s="750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746"/>
      <c r="B15" s="219" t="s">
        <v>87</v>
      </c>
      <c r="C15" s="119">
        <f>[1]영업현황!C15</f>
        <v>1294</v>
      </c>
      <c r="D15" s="120">
        <f>[1]영업현황!D15</f>
        <v>-77</v>
      </c>
      <c r="E15" s="121">
        <f>[1]영업현황!E15</f>
        <v>1217</v>
      </c>
      <c r="F15" s="120">
        <f>[1]영업현황!F15</f>
        <v>44</v>
      </c>
      <c r="G15" s="120">
        <f>[1]영업현황!G15</f>
        <v>-4</v>
      </c>
      <c r="H15" s="120">
        <f>[1]영업현황!H15</f>
        <v>2</v>
      </c>
      <c r="I15" s="120">
        <f>[1]영업현황!I15</f>
        <v>0</v>
      </c>
      <c r="J15" s="122">
        <f>[1]영업현황!J15</f>
        <v>1259</v>
      </c>
      <c r="L15" s="255"/>
      <c r="M15" s="744" t="s">
        <v>314</v>
      </c>
      <c r="N15" s="744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747"/>
      <c r="B16" s="57" t="s">
        <v>0</v>
      </c>
      <c r="C16" s="53">
        <f>[1]영업현황!C16</f>
        <v>828472</v>
      </c>
      <c r="D16" s="32">
        <f>[1]영업현황!D16</f>
        <v>509773</v>
      </c>
      <c r="E16" s="32">
        <f>[1]영업현황!E16</f>
        <v>1338245</v>
      </c>
      <c r="F16" s="30">
        <f>[1]영업현황!F16</f>
        <v>33429</v>
      </c>
      <c r="G16" s="30">
        <f>[1]영업현황!G16</f>
        <v>14577</v>
      </c>
      <c r="H16" s="30">
        <f>[1]영업현황!H16</f>
        <v>1526</v>
      </c>
      <c r="I16" s="29">
        <f>[1]영업현황!I16</f>
        <v>128</v>
      </c>
      <c r="J16" s="33">
        <f>[1]영업현황!J16</f>
        <v>1387905</v>
      </c>
      <c r="K16" s="28"/>
      <c r="L16" s="448">
        <f>A2</f>
        <v>46173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745" t="s">
        <v>91</v>
      </c>
      <c r="B17" s="58" t="s">
        <v>84</v>
      </c>
      <c r="C17" s="51">
        <f>[1]영업현황!C17</f>
        <v>812448</v>
      </c>
      <c r="D17" s="39">
        <f>[1]영업현황!D17</f>
        <v>504809</v>
      </c>
      <c r="E17" s="39">
        <f>[1]영업현황!E17</f>
        <v>1317257</v>
      </c>
      <c r="F17" s="42">
        <f>[1]영업현황!F17</f>
        <v>28806</v>
      </c>
      <c r="G17" s="42">
        <f>[1]영업현황!G17</f>
        <v>14175</v>
      </c>
      <c r="H17" s="42">
        <f>[1]영업현황!H17</f>
        <v>1448</v>
      </c>
      <c r="I17" s="42">
        <f>[1]영업현황!I17</f>
        <v>122</v>
      </c>
      <c r="J17" s="43">
        <f>[1]영업현황!J17</f>
        <v>1361808</v>
      </c>
      <c r="L17" s="246">
        <f>L5</f>
        <v>4</v>
      </c>
      <c r="M17" s="247" t="s">
        <v>316</v>
      </c>
      <c r="N17" s="248"/>
    </row>
    <row r="18" spans="1:25" s="20" customFormat="1" ht="33" customHeight="1" x14ac:dyDescent="0.15">
      <c r="A18" s="746"/>
      <c r="B18" s="220"/>
      <c r="C18" s="563"/>
      <c r="D18" s="564"/>
      <c r="E18" s="564"/>
      <c r="F18" s="565"/>
      <c r="G18" s="564"/>
      <c r="H18" s="564"/>
      <c r="I18" s="564"/>
      <c r="J18" s="566"/>
      <c r="L18" s="245"/>
      <c r="M18" s="114"/>
    </row>
    <row r="19" spans="1:25" s="20" customFormat="1" ht="33" customHeight="1" x14ac:dyDescent="0.15">
      <c r="A19" s="746"/>
      <c r="B19" s="220" t="s">
        <v>92</v>
      </c>
      <c r="C19" s="221">
        <f>[1]영업현황!C19</f>
        <v>4</v>
      </c>
      <c r="D19" s="222">
        <f>[1]영업현황!D19</f>
        <v>-20</v>
      </c>
      <c r="E19" s="223">
        <f>[1]영업현황!E19</f>
        <v>-16</v>
      </c>
      <c r="F19" s="222">
        <f>[1]영업현황!F19</f>
        <v>16</v>
      </c>
      <c r="G19" s="222">
        <f>[1]영업현황!G19</f>
        <v>-1</v>
      </c>
      <c r="H19" s="224">
        <f>[1]영업현황!H19</f>
        <v>1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746"/>
      <c r="B20" s="232" t="s">
        <v>93</v>
      </c>
      <c r="C20" s="226">
        <f>[1]영업현황!C20</f>
        <v>9</v>
      </c>
      <c r="D20" s="227">
        <f>[1]영업현황!D20</f>
        <v>16</v>
      </c>
      <c r="E20" s="227">
        <f>[1]영업현황!E20</f>
        <v>25</v>
      </c>
      <c r="F20" s="227">
        <f>[1]영업현황!F20</f>
        <v>13</v>
      </c>
      <c r="G20" s="227">
        <f>[1]영업현황!G20</f>
        <v>12</v>
      </c>
      <c r="H20" s="227">
        <f>[1]영업현황!H20</f>
        <v>0</v>
      </c>
      <c r="I20" s="227">
        <f>[1]영업현황!I20</f>
        <v>0</v>
      </c>
      <c r="J20" s="218">
        <f>[1]영업현황!J20</f>
        <v>50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746"/>
      <c r="B21" s="219" t="s">
        <v>94</v>
      </c>
      <c r="C21" s="228">
        <f>[1]영업현황!C21</f>
        <v>1974</v>
      </c>
      <c r="D21" s="229">
        <f>[1]영업현황!D21</f>
        <v>-41</v>
      </c>
      <c r="E21" s="230">
        <f>[1]영업현황!E21</f>
        <v>1933</v>
      </c>
      <c r="F21" s="229">
        <f>[1]영업현황!F21</f>
        <v>48</v>
      </c>
      <c r="G21" s="229">
        <f>[1]영업현황!G21</f>
        <v>-5</v>
      </c>
      <c r="H21" s="231">
        <f>[1]영업현황!H21</f>
        <v>4</v>
      </c>
      <c r="I21" s="229">
        <f>[1]영업현황!I21</f>
        <v>0</v>
      </c>
      <c r="J21" s="122">
        <f>[1]영업현황!J21</f>
        <v>1980</v>
      </c>
      <c r="L21" s="255"/>
      <c r="M21" s="744" t="s">
        <v>317</v>
      </c>
      <c r="N21" s="744"/>
    </row>
    <row r="22" spans="1:25" s="20" customFormat="1" ht="33" customHeight="1" thickBot="1" x14ac:dyDescent="0.2">
      <c r="A22" s="747"/>
      <c r="B22" s="57" t="s">
        <v>0</v>
      </c>
      <c r="C22" s="53">
        <f>[1]영업현황!C22</f>
        <v>814422</v>
      </c>
      <c r="D22" s="131">
        <f>[1]영업현황!D22</f>
        <v>504768</v>
      </c>
      <c r="E22" s="32">
        <f>[1]영업현황!E22</f>
        <v>1319190</v>
      </c>
      <c r="F22" s="30">
        <f>[1]영업현황!F22</f>
        <v>28854</v>
      </c>
      <c r="G22" s="30">
        <f>[1]영업현황!G22</f>
        <v>14170</v>
      </c>
      <c r="H22" s="30">
        <f>[1]영업현황!H22</f>
        <v>1452</v>
      </c>
      <c r="I22" s="29">
        <f>[1]영업현황!I22</f>
        <v>122</v>
      </c>
      <c r="J22" s="33">
        <f>[1]영업현황!J22</f>
        <v>1363788</v>
      </c>
      <c r="L22" s="448">
        <f>A2</f>
        <v>46173</v>
      </c>
      <c r="M22" s="751" t="s">
        <v>318</v>
      </c>
      <c r="N22" s="751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752" t="s">
        <v>95</v>
      </c>
      <c r="B25" s="753"/>
      <c r="C25" s="441" t="s">
        <v>81</v>
      </c>
      <c r="D25" s="441" t="s">
        <v>82</v>
      </c>
      <c r="E25" s="442" t="s">
        <v>96</v>
      </c>
      <c r="F25" s="441" t="s">
        <v>77</v>
      </c>
      <c r="G25" s="441" t="s">
        <v>78</v>
      </c>
      <c r="H25" s="441" t="s">
        <v>97</v>
      </c>
      <c r="I25" s="443" t="s">
        <v>98</v>
      </c>
      <c r="J25" s="444" t="s">
        <v>96</v>
      </c>
    </row>
    <row r="26" spans="1:25" ht="33.75" customHeight="1" thickBot="1" x14ac:dyDescent="0.2">
      <c r="A26" s="754"/>
      <c r="B26" s="755"/>
      <c r="C26" s="445">
        <f t="shared" ref="C26:J26" si="0">C21+C20-C32</f>
        <v>1979</v>
      </c>
      <c r="D26" s="445">
        <f>D21+D20-D32</f>
        <v>-5</v>
      </c>
      <c r="E26" s="445">
        <f t="shared" si="0"/>
        <v>1974</v>
      </c>
      <c r="F26" s="445">
        <f t="shared" si="0"/>
        <v>45</v>
      </c>
      <c r="G26" s="445">
        <f t="shared" si="0"/>
        <v>8</v>
      </c>
      <c r="H26" s="445">
        <f>H21+H20-H32</f>
        <v>3</v>
      </c>
      <c r="I26" s="446">
        <f t="shared" si="0"/>
        <v>0</v>
      </c>
      <c r="J26" s="447">
        <f t="shared" si="0"/>
        <v>2030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759" t="s">
        <v>295</v>
      </c>
      <c r="B27" s="759"/>
      <c r="C27" s="452">
        <f>[1]영업현황!C27</f>
        <v>1610</v>
      </c>
      <c r="D27" s="452">
        <f>[1]영업현황!D27</f>
        <v>115</v>
      </c>
      <c r="E27" s="440">
        <f>SUM(C27:D27)</f>
        <v>1725</v>
      </c>
      <c r="F27" s="452">
        <f>[1]영업현황!F27</f>
        <v>56</v>
      </c>
      <c r="G27" s="452">
        <f>[1]영업현황!G27</f>
        <v>19</v>
      </c>
      <c r="H27" s="452">
        <f>[1]영업현황!H27</f>
        <v>1</v>
      </c>
      <c r="I27" s="452">
        <f>[1]영업현황!I27</f>
        <v>0</v>
      </c>
      <c r="J27" s="440">
        <f>SUM(E27:I27)</f>
        <v>1801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756" t="s">
        <v>99</v>
      </c>
      <c r="B30" s="757"/>
      <c r="C30" s="259">
        <f>[1]영업현황!C32</f>
        <v>0</v>
      </c>
      <c r="D30" s="259">
        <f>[1]영업현황!D32</f>
        <v>-27</v>
      </c>
      <c r="E30" s="543">
        <f>SUM(C30:D30)</f>
        <v>-27</v>
      </c>
      <c r="F30" s="259">
        <f>[1]영업현황!F32</f>
        <v>-10</v>
      </c>
      <c r="G30" s="259">
        <f>[1]영업현황!G32</f>
        <v>-11</v>
      </c>
      <c r="H30" s="259">
        <f>[1]영업현황!H32</f>
        <v>0</v>
      </c>
      <c r="I30" s="259">
        <f>[1]영업현황!I32</f>
        <v>0</v>
      </c>
      <c r="J30" s="543">
        <f>SUM(E30:I30)</f>
        <v>-48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756" t="s">
        <v>101</v>
      </c>
      <c r="B31" s="757"/>
      <c r="C31" s="259">
        <f>[1]영업현황!C33</f>
        <v>4</v>
      </c>
      <c r="D31" s="259">
        <f>[1]영업현황!D33</f>
        <v>7</v>
      </c>
      <c r="E31" s="440">
        <f>SUM(C31:D31)</f>
        <v>11</v>
      </c>
      <c r="F31" s="259">
        <f>[1]영업현황!F33</f>
        <v>26</v>
      </c>
      <c r="G31" s="259">
        <f>[1]영업현황!G33</f>
        <v>10</v>
      </c>
      <c r="H31" s="259">
        <f>[1]영업현황!H33</f>
        <v>1</v>
      </c>
      <c r="I31" s="259">
        <f>[1]영업현황!I33</f>
        <v>0</v>
      </c>
      <c r="J31" s="440">
        <f>SUM(E31:I31)</f>
        <v>48</v>
      </c>
      <c r="K31" s="203"/>
      <c r="L31" s="258"/>
      <c r="M31" s="440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756" t="s">
        <v>103</v>
      </c>
      <c r="B32" s="757"/>
      <c r="C32" s="202">
        <f>SUM(C30:C31)</f>
        <v>4</v>
      </c>
      <c r="D32" s="202">
        <f>SUM(D30:D31)</f>
        <v>-20</v>
      </c>
      <c r="E32" s="202">
        <f>SUM(C32:D32)</f>
        <v>-16</v>
      </c>
      <c r="F32" s="202">
        <f>SUM(F30:F31)</f>
        <v>16</v>
      </c>
      <c r="G32" s="202">
        <f>SUM(G30:G31)</f>
        <v>-1</v>
      </c>
      <c r="H32" s="202">
        <f>SUM(H30:H31)</f>
        <v>1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0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1"/>
      <c r="D37" s="511"/>
      <c r="E37" s="243"/>
      <c r="F37" s="511"/>
      <c r="G37" s="511"/>
      <c r="H37" s="511"/>
      <c r="I37" s="512"/>
      <c r="J37" s="512"/>
    </row>
    <row r="38" spans="3:24" ht="16.5" x14ac:dyDescent="0.15">
      <c r="C38" s="513"/>
      <c r="D38" s="513"/>
      <c r="E38" s="513"/>
      <c r="F38" s="513"/>
      <c r="G38" s="513"/>
      <c r="H38" s="513"/>
      <c r="I38" s="513"/>
      <c r="J38" s="513"/>
    </row>
  </sheetData>
  <mergeCells count="19">
    <mergeCell ref="A25:B26"/>
    <mergeCell ref="A30:B30"/>
    <mergeCell ref="A31:B31"/>
    <mergeCell ref="A32:B32"/>
    <mergeCell ref="A5:A10"/>
    <mergeCell ref="A27:B27"/>
    <mergeCell ref="M9:N9"/>
    <mergeCell ref="A11:A16"/>
    <mergeCell ref="B12:B14"/>
    <mergeCell ref="M15:N15"/>
    <mergeCell ref="A17:A22"/>
    <mergeCell ref="M21:N21"/>
    <mergeCell ref="M22:N22"/>
    <mergeCell ref="J3:J4"/>
    <mergeCell ref="A3:B4"/>
    <mergeCell ref="F3:F4"/>
    <mergeCell ref="G3:G4"/>
    <mergeCell ref="H3:H4"/>
    <mergeCell ref="I3:I4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tabSelected="1" workbookViewId="0">
      <selection activeCell="D6" sqref="D6:I6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3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822">
        <f>YEAR(영업현황!A2)</f>
        <v>2026</v>
      </c>
      <c r="G3" s="822"/>
      <c r="H3" s="412">
        <f>MONTH(영업현황!A2)</f>
        <v>5</v>
      </c>
      <c r="I3" s="412"/>
      <c r="J3" s="823">
        <f>DAY(영업현황!A2)</f>
        <v>31</v>
      </c>
      <c r="K3" s="823"/>
      <c r="L3" s="197"/>
      <c r="M3" s="198"/>
      <c r="N3" s="11"/>
      <c r="O3" s="10"/>
      <c r="P3" s="10"/>
      <c r="S3" s="367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4"/>
      <c r="D5" s="116"/>
      <c r="E5" s="132"/>
      <c r="F5" s="450"/>
      <c r="G5" s="127"/>
      <c r="I5" s="97"/>
      <c r="J5" s="97"/>
      <c r="K5" s="186"/>
      <c r="L5" s="85"/>
      <c r="Q5" s="282"/>
      <c r="R5" s="15"/>
      <c r="T5" s="712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828" t="s">
        <v>37</v>
      </c>
      <c r="D6" s="830" t="s">
        <v>118</v>
      </c>
      <c r="E6" s="831"/>
      <c r="F6" s="831"/>
      <c r="G6" s="831"/>
      <c r="H6" s="831"/>
      <c r="I6" s="832"/>
      <c r="J6" s="268" t="s">
        <v>119</v>
      </c>
      <c r="K6" s="269"/>
      <c r="L6" s="269"/>
      <c r="M6" s="269"/>
      <c r="N6" s="270"/>
      <c r="O6" s="786" t="s">
        <v>120</v>
      </c>
      <c r="P6" s="787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829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88"/>
      <c r="P7" s="789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8" t="s">
        <v>159</v>
      </c>
      <c r="AA7" s="337" t="s">
        <v>160</v>
      </c>
      <c r="AG7" s="1"/>
    </row>
    <row r="8" spans="1:33" ht="25.5" customHeight="1" thickTop="1" thickBot="1" x14ac:dyDescent="0.2">
      <c r="A8" s="790" t="s">
        <v>49</v>
      </c>
      <c r="B8" s="791"/>
      <c r="C8" s="549">
        <v>1361808</v>
      </c>
      <c r="D8" s="370">
        <f>SUM(D9:D14)</f>
        <v>1801</v>
      </c>
      <c r="E8" s="355">
        <f>SUM(E9:E14)</f>
        <v>2030</v>
      </c>
      <c r="F8" s="371">
        <f>SUM(F9:F14)</f>
        <v>50</v>
      </c>
      <c r="G8" s="372">
        <f>SUM(G9:G14)</f>
        <v>0</v>
      </c>
      <c r="H8" s="394">
        <f t="shared" ref="H8:H14" si="0">IFERROR(E8/D8,"")</f>
        <v>1.1271515824541922</v>
      </c>
      <c r="I8" s="373">
        <f>IFERROR(E8/(D8/(EOMONTH(영업현황!$A$2,0)-EOMONTH(영업현황!$A$2,-1))*영업일보!$J$3),"")</f>
        <v>1.1271515824541922</v>
      </c>
      <c r="J8" s="374">
        <f>SUM(J9:J14)</f>
        <v>14614</v>
      </c>
      <c r="K8" s="343">
        <f>SUM(K9:K14)</f>
        <v>7786</v>
      </c>
      <c r="L8" s="344">
        <f>SUM(L9:L14)</f>
        <v>360</v>
      </c>
      <c r="M8" s="394">
        <f t="shared" ref="M8:M14" si="1">K8/J8</f>
        <v>0.53277678938004658</v>
      </c>
      <c r="N8" s="373">
        <f t="shared" ref="N8:N13" si="2">K8/X8</f>
        <v>1.0349594576631662</v>
      </c>
      <c r="O8" s="414">
        <f>SUM(O9:P14)</f>
        <v>1363788</v>
      </c>
      <c r="P8" s="415"/>
      <c r="Q8" s="340"/>
      <c r="R8" s="410" t="b">
        <f>EXACT(O8,영업현황!J22)</f>
        <v>1</v>
      </c>
      <c r="S8" s="409">
        <v>5756</v>
      </c>
      <c r="T8" s="338">
        <v>310</v>
      </c>
      <c r="U8" s="340"/>
      <c r="V8" s="366">
        <f>IFERROR(SUM(V9:V14), 0)</f>
        <v>5722</v>
      </c>
      <c r="W8" s="366">
        <f>D8/(EOMONTH(영업현황!$A$2,0)-EOMONTH(영업현황!$A$2,-1))*$J$3</f>
        <v>1801</v>
      </c>
      <c r="X8" s="366">
        <f>V8+W8</f>
        <v>7523</v>
      </c>
      <c r="Y8" s="340"/>
      <c r="Z8" s="338">
        <v>0</v>
      </c>
      <c r="AA8" s="369">
        <f t="shared" ref="AA8:AA14" si="3">Z8+ABS(G8)</f>
        <v>0</v>
      </c>
      <c r="AG8" s="1"/>
    </row>
    <row r="9" spans="1:33" ht="25.5" customHeight="1" x14ac:dyDescent="0.15">
      <c r="A9" s="824" t="s">
        <v>50</v>
      </c>
      <c r="B9" s="399" t="s">
        <v>225</v>
      </c>
      <c r="C9" s="550">
        <v>812448</v>
      </c>
      <c r="D9" s="375">
        <f>HLOOKUP($H$3,공급전계획,16,0)</f>
        <v>1610</v>
      </c>
      <c r="E9" s="356">
        <f>영업현황!C21+영업현황!C20-영업현황!C19</f>
        <v>1979</v>
      </c>
      <c r="F9" s="357">
        <f>영업현황!C20</f>
        <v>9</v>
      </c>
      <c r="G9" s="263">
        <f>영업현황!C19</f>
        <v>4</v>
      </c>
      <c r="H9" s="395">
        <f t="shared" si="0"/>
        <v>1.2291925465838509</v>
      </c>
      <c r="I9" s="376">
        <f>IFERROR(E9/(D9/(EOMONTH(영업현황!$A$2,0)-EOMONTH(영업현황!$A$2,-1))*영업일보!$J$3),"")</f>
        <v>1.2291925465838509</v>
      </c>
      <c r="J9" s="377">
        <f>'공급전 계획(2026년)'!S19</f>
        <v>11789</v>
      </c>
      <c r="K9" s="345">
        <f t="shared" ref="K9:L14" si="4">S9+E9</f>
        <v>6866</v>
      </c>
      <c r="L9" s="346">
        <f t="shared" si="4"/>
        <v>104</v>
      </c>
      <c r="M9" s="395">
        <f t="shared" si="1"/>
        <v>0.58240732886589197</v>
      </c>
      <c r="N9" s="376">
        <f t="shared" si="2"/>
        <v>1.0746595711378932</v>
      </c>
      <c r="O9" s="416">
        <f t="shared" ref="O9:O14" si="5">C9+E9-F9+G9</f>
        <v>814422</v>
      </c>
      <c r="P9" s="417"/>
      <c r="Q9" s="340"/>
      <c r="R9" s="408"/>
      <c r="S9" s="338">
        <v>4887</v>
      </c>
      <c r="T9" s="338">
        <v>95</v>
      </c>
      <c r="U9" s="340"/>
      <c r="V9" s="366">
        <f>IFERROR(HLOOKUP($H$3-1,공급전계획,20,0),0)</f>
        <v>4779</v>
      </c>
      <c r="W9" s="366">
        <f>D9/(EOMONTH(영업현황!$A$2,0)-EOMONTH(영업현황!$A$2,-1))*$J$3</f>
        <v>1610</v>
      </c>
      <c r="X9" s="366">
        <f t="shared" ref="X9:X14" si="6">V9+W9</f>
        <v>6389</v>
      </c>
      <c r="Y9" s="340"/>
      <c r="Z9" s="338">
        <v>9</v>
      </c>
      <c r="AA9" s="369">
        <f t="shared" si="3"/>
        <v>13</v>
      </c>
      <c r="AG9" s="1"/>
    </row>
    <row r="10" spans="1:33" ht="25.5" customHeight="1" x14ac:dyDescent="0.15">
      <c r="A10" s="825"/>
      <c r="B10" s="400" t="s">
        <v>51</v>
      </c>
      <c r="C10" s="551">
        <v>504809</v>
      </c>
      <c r="D10" s="378">
        <f>HLOOKUP($H$3,공급전계획,17,0)</f>
        <v>115</v>
      </c>
      <c r="E10" s="909">
        <f>영업현황!D21+영업현황!D20-영업현황!D19</f>
        <v>-5</v>
      </c>
      <c r="F10" s="358">
        <f>영업현황!D20</f>
        <v>16</v>
      </c>
      <c r="G10" s="261">
        <f>영업현황!D19</f>
        <v>-20</v>
      </c>
      <c r="H10" s="396">
        <f t="shared" si="0"/>
        <v>-4.3478260869565216E-2</v>
      </c>
      <c r="I10" s="379">
        <f>IFERROR(E10/(D10/(EOMONTH(영업현황!$A$2,0)-EOMONTH(영업현황!$A$2,-1))*영업일보!$J$3),"")</f>
        <v>-4.3478260869565216E-2</v>
      </c>
      <c r="J10" s="380">
        <f>'공급전 계획(2026년)'!S20</f>
        <v>1869</v>
      </c>
      <c r="K10" s="347">
        <f t="shared" si="4"/>
        <v>535</v>
      </c>
      <c r="L10" s="348">
        <f t="shared" si="4"/>
        <v>159</v>
      </c>
      <c r="M10" s="402">
        <f t="shared" si="1"/>
        <v>0.28624933119315144</v>
      </c>
      <c r="N10" s="379">
        <f t="shared" si="2"/>
        <v>0.73087431693989069</v>
      </c>
      <c r="O10" s="418">
        <f t="shared" si="5"/>
        <v>504768</v>
      </c>
      <c r="P10" s="419"/>
      <c r="Q10" s="340"/>
      <c r="R10" s="408"/>
      <c r="S10" s="338">
        <v>540</v>
      </c>
      <c r="T10" s="338">
        <v>143</v>
      </c>
      <c r="U10" s="340"/>
      <c r="V10" s="366">
        <f>IFERROR(HLOOKUP($H$3-1,공급전계획,21,0),0)</f>
        <v>617</v>
      </c>
      <c r="W10" s="366">
        <f>D10/(EOMONTH(영업현황!$A$2,0)-EOMONTH(영업현황!$A$2,-1))*$J$3</f>
        <v>115</v>
      </c>
      <c r="X10" s="366">
        <f t="shared" si="6"/>
        <v>732</v>
      </c>
      <c r="Y10" s="340"/>
      <c r="Z10" s="338">
        <v>171</v>
      </c>
      <c r="AA10" s="369">
        <f t="shared" si="3"/>
        <v>191</v>
      </c>
      <c r="AB10" s="544"/>
      <c r="AG10" s="1"/>
    </row>
    <row r="11" spans="1:33" ht="25.5" customHeight="1" x14ac:dyDescent="0.15">
      <c r="A11" s="826" t="s">
        <v>444</v>
      </c>
      <c r="B11" s="827"/>
      <c r="C11" s="552">
        <v>28806</v>
      </c>
      <c r="D11" s="381">
        <f>HLOOKUP($H$3,공급전계획,3,0)</f>
        <v>56</v>
      </c>
      <c r="E11" s="359">
        <f>영업현황!F21+영업현황!F20-영업현황!F19</f>
        <v>45</v>
      </c>
      <c r="F11" s="360">
        <f>영업현황!F20</f>
        <v>13</v>
      </c>
      <c r="G11" s="264">
        <f>영업현황!F19</f>
        <v>16</v>
      </c>
      <c r="H11" s="397">
        <f t="shared" si="0"/>
        <v>0.8035714285714286</v>
      </c>
      <c r="I11" s="382">
        <f>IFERROR(E11/(D11/(EOMONTH(영업현황!$A$2,0)-EOMONTH(영업현황!$A$2,-1))*영업일보!$J$3),"")</f>
        <v>0.8035714285714286</v>
      </c>
      <c r="J11" s="383">
        <f>'공급전 계획(2026년)'!S6</f>
        <v>659</v>
      </c>
      <c r="K11" s="349">
        <f t="shared" si="4"/>
        <v>275</v>
      </c>
      <c r="L11" s="350">
        <f t="shared" si="4"/>
        <v>54</v>
      </c>
      <c r="M11" s="397">
        <f t="shared" si="1"/>
        <v>0.41729893778452198</v>
      </c>
      <c r="N11" s="382">
        <f t="shared" si="2"/>
        <v>0.98566308243727596</v>
      </c>
      <c r="O11" s="420">
        <f t="shared" si="5"/>
        <v>28854</v>
      </c>
      <c r="P11" s="421"/>
      <c r="Q11" s="340"/>
      <c r="R11" s="408"/>
      <c r="S11" s="338">
        <v>230</v>
      </c>
      <c r="T11" s="338">
        <v>41</v>
      </c>
      <c r="U11" s="340"/>
      <c r="V11" s="366">
        <f>IFERROR(HLOOKUP($H$3-1,공급전계획,22,0),0)</f>
        <v>223</v>
      </c>
      <c r="W11" s="366">
        <f>D11/(EOMONTH(영업현황!$A$2,0)-EOMONTH(영업현황!$A$2,-1))*$J$3</f>
        <v>56</v>
      </c>
      <c r="X11" s="366">
        <f t="shared" si="6"/>
        <v>279</v>
      </c>
      <c r="Y11" s="340"/>
      <c r="Z11" s="338">
        <v>141</v>
      </c>
      <c r="AA11" s="369">
        <f t="shared" si="3"/>
        <v>157</v>
      </c>
      <c r="AG11" s="1"/>
    </row>
    <row r="12" spans="1:33" ht="25.5" customHeight="1" x14ac:dyDescent="0.15">
      <c r="A12" s="826" t="s">
        <v>52</v>
      </c>
      <c r="B12" s="827"/>
      <c r="C12" s="551">
        <v>14175</v>
      </c>
      <c r="D12" s="381">
        <f>HLOOKUP($H$3,공급전계획,4,0)</f>
        <v>19</v>
      </c>
      <c r="E12" s="359">
        <f>영업현황!G21+영업현황!G20-영업현황!G19</f>
        <v>8</v>
      </c>
      <c r="F12" s="360">
        <f>영업현황!G20</f>
        <v>12</v>
      </c>
      <c r="G12" s="264">
        <f>영업현황!G19</f>
        <v>-1</v>
      </c>
      <c r="H12" s="397">
        <f t="shared" si="0"/>
        <v>0.42105263157894735</v>
      </c>
      <c r="I12" s="382">
        <f>IFERROR(E12/(D12/(EOMONTH(영업현황!$A$2,0)-EOMONTH(영업현황!$A$2,-1))*영업일보!$J$3),"")</f>
        <v>0.42105263157894735</v>
      </c>
      <c r="J12" s="383">
        <f>'공급전 계획(2026년)'!S7</f>
        <v>280</v>
      </c>
      <c r="K12" s="349">
        <f t="shared" si="4"/>
        <v>101</v>
      </c>
      <c r="L12" s="350">
        <f t="shared" si="4"/>
        <v>41</v>
      </c>
      <c r="M12" s="397">
        <f t="shared" si="1"/>
        <v>0.36071428571428571</v>
      </c>
      <c r="N12" s="382">
        <f t="shared" si="2"/>
        <v>0.87068965517241381</v>
      </c>
      <c r="O12" s="420">
        <f t="shared" si="5"/>
        <v>14170</v>
      </c>
      <c r="P12" s="421"/>
      <c r="Q12" s="340"/>
      <c r="R12" s="408"/>
      <c r="S12" s="338">
        <v>93</v>
      </c>
      <c r="T12" s="338">
        <v>29</v>
      </c>
      <c r="U12" s="340"/>
      <c r="V12" s="366">
        <f>IFERROR(HLOOKUP($H$3-1,공급전계획,23,0),0)</f>
        <v>97</v>
      </c>
      <c r="W12" s="366">
        <f>D12/(EOMONTH(영업현황!$A$2,0)-EOMONTH(영업현황!$A$2,-1))*$J$3</f>
        <v>19</v>
      </c>
      <c r="X12" s="366">
        <f t="shared" si="6"/>
        <v>116</v>
      </c>
      <c r="Y12" s="340"/>
      <c r="Z12" s="338">
        <v>20</v>
      </c>
      <c r="AA12" s="369">
        <f t="shared" si="3"/>
        <v>21</v>
      </c>
      <c r="AG12" s="1"/>
    </row>
    <row r="13" spans="1:33" ht="25.5" customHeight="1" x14ac:dyDescent="0.15">
      <c r="A13" s="812" t="s">
        <v>53</v>
      </c>
      <c r="B13" s="813"/>
      <c r="C13" s="553">
        <v>1448</v>
      </c>
      <c r="D13" s="375">
        <f>HLOOKUP($H$3,공급전계획,5,0)</f>
        <v>1</v>
      </c>
      <c r="E13" s="361">
        <f>영업현황!H21+영업현황!H20-영업현황!H19</f>
        <v>3</v>
      </c>
      <c r="F13" s="362">
        <f>영업현황!H20</f>
        <v>0</v>
      </c>
      <c r="G13" s="264">
        <f>영업현황!H19</f>
        <v>1</v>
      </c>
      <c r="H13" s="398">
        <f t="shared" si="0"/>
        <v>3</v>
      </c>
      <c r="I13" s="384">
        <f>IFERROR(E13/(D13/(EOMONTH(영업현황!$A$2,0)-EOMONTH(영업현황!$A$2,-1))*영업일보!$J$3),"")</f>
        <v>3</v>
      </c>
      <c r="J13" s="385">
        <f>'공급전 계획(2026년)'!S8</f>
        <v>13</v>
      </c>
      <c r="K13" s="351">
        <f t="shared" si="4"/>
        <v>8</v>
      </c>
      <c r="L13" s="352">
        <f t="shared" si="4"/>
        <v>2</v>
      </c>
      <c r="M13" s="398">
        <f t="shared" si="1"/>
        <v>0.61538461538461542</v>
      </c>
      <c r="N13" s="384">
        <f t="shared" si="2"/>
        <v>1.3333333333333333</v>
      </c>
      <c r="O13" s="420">
        <f t="shared" si="5"/>
        <v>1452</v>
      </c>
      <c r="P13" s="421"/>
      <c r="Q13" s="340"/>
      <c r="R13" s="408"/>
      <c r="S13" s="338">
        <v>5</v>
      </c>
      <c r="T13" s="338">
        <v>2</v>
      </c>
      <c r="U13" s="340"/>
      <c r="V13" s="366">
        <f>IFERROR(HLOOKUP($H$3-1,공급전계획,24,0),0)</f>
        <v>5</v>
      </c>
      <c r="W13" s="366">
        <f>D13/(EOMONTH(영업현황!$A$2,0)-EOMONTH(영업현황!$A$2,-1))*$J$3</f>
        <v>1</v>
      </c>
      <c r="X13" s="366">
        <f t="shared" si="6"/>
        <v>6</v>
      </c>
      <c r="Y13" s="340"/>
      <c r="Z13" s="338">
        <v>2</v>
      </c>
      <c r="AA13" s="369">
        <f t="shared" si="3"/>
        <v>3</v>
      </c>
      <c r="AG13" s="1"/>
    </row>
    <row r="14" spans="1:33" ht="25.5" customHeight="1" thickBot="1" x14ac:dyDescent="0.2">
      <c r="A14" s="814" t="s">
        <v>54</v>
      </c>
      <c r="B14" s="815"/>
      <c r="C14" s="554">
        <v>122</v>
      </c>
      <c r="D14" s="386">
        <f>HLOOKUP($H$3,공급전계획,6,0)</f>
        <v>0</v>
      </c>
      <c r="E14" s="353">
        <f>영업현황!I21+영업현황!I20-영업현황!I19</f>
        <v>0</v>
      </c>
      <c r="F14" s="363">
        <f>영업현황!I20</f>
        <v>0</v>
      </c>
      <c r="G14" s="262">
        <f>영업현황!I19</f>
        <v>0</v>
      </c>
      <c r="H14" s="507" t="str">
        <f t="shared" si="0"/>
        <v/>
      </c>
      <c r="I14" s="508" t="str">
        <f>IFERROR(E14/(D14/(EOMONTH(영업현황!$A$2,0)-EOMONTH(영업현황!$A$2,-1))*영업일보!$J$3),"")</f>
        <v/>
      </c>
      <c r="J14" s="387">
        <f>'공급전 계획(2026년)'!S9</f>
        <v>4</v>
      </c>
      <c r="K14" s="353">
        <f t="shared" si="4"/>
        <v>1</v>
      </c>
      <c r="L14" s="354">
        <f t="shared" si="4"/>
        <v>0</v>
      </c>
      <c r="M14" s="403">
        <f t="shared" si="1"/>
        <v>0.25</v>
      </c>
      <c r="N14" s="388">
        <v>0</v>
      </c>
      <c r="O14" s="422">
        <f t="shared" si="5"/>
        <v>122</v>
      </c>
      <c r="P14" s="423"/>
      <c r="Q14" s="340"/>
      <c r="R14" s="408"/>
      <c r="S14" s="338">
        <v>1</v>
      </c>
      <c r="T14" s="338">
        <v>0</v>
      </c>
      <c r="U14" s="340"/>
      <c r="V14" s="366">
        <f>IFERROR(HLOOKUP($H$3-1,공급전계획,25,0),0)</f>
        <v>1</v>
      </c>
      <c r="W14" s="366">
        <f>D14/(EOMONTH(영업현황!$A$2,0)-EOMONTH(영업현황!$A$2,-1))*$J$3</f>
        <v>0</v>
      </c>
      <c r="X14" s="366">
        <f t="shared" si="6"/>
        <v>1</v>
      </c>
      <c r="Y14" s="340"/>
      <c r="Z14" s="338">
        <v>1</v>
      </c>
      <c r="AA14" s="369">
        <f t="shared" si="3"/>
        <v>1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7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816" t="s">
        <v>117</v>
      </c>
      <c r="B17" s="817"/>
      <c r="C17" s="762"/>
      <c r="D17" s="763" t="s">
        <v>56</v>
      </c>
      <c r="E17" s="763"/>
      <c r="F17" s="763"/>
      <c r="G17" s="762" t="s">
        <v>57</v>
      </c>
      <c r="H17" s="763"/>
      <c r="I17" s="763"/>
      <c r="J17" s="404" t="s">
        <v>271</v>
      </c>
      <c r="K17" s="763" t="s">
        <v>58</v>
      </c>
      <c r="L17" s="764"/>
      <c r="M17" s="792" t="s">
        <v>272</v>
      </c>
      <c r="N17" s="793"/>
      <c r="O17" s="793"/>
      <c r="P17" s="794"/>
      <c r="S17" s="282" t="s">
        <v>298</v>
      </c>
    </row>
    <row r="18" spans="1:33" ht="25.5" customHeight="1" thickTop="1" x14ac:dyDescent="0.15">
      <c r="A18" s="812" t="s">
        <v>118</v>
      </c>
      <c r="B18" s="813"/>
      <c r="C18" s="108" t="s">
        <v>59</v>
      </c>
      <c r="D18" s="795">
        <f>HLOOKUP($H$3,판매량계획,3,0)</f>
        <v>2303352863</v>
      </c>
      <c r="E18" s="796"/>
      <c r="F18" s="797"/>
      <c r="G18" s="771">
        <f>VLOOKUP($J$3,공급량!$A$7:$Q$37,11,0)</f>
        <v>2186544966</v>
      </c>
      <c r="H18" s="771"/>
      <c r="I18" s="772"/>
      <c r="J18" s="460">
        <f>G18/D18</f>
        <v>0.9492878842506729</v>
      </c>
      <c r="K18" s="798">
        <f>G18-D18</f>
        <v>-116807897</v>
      </c>
      <c r="L18" s="799"/>
      <c r="M18" s="837" t="s">
        <v>273</v>
      </c>
      <c r="N18" s="838"/>
      <c r="O18" s="802" t="s">
        <v>274</v>
      </c>
      <c r="P18" s="803"/>
      <c r="R18" s="59"/>
      <c r="S18" s="282" t="s">
        <v>299</v>
      </c>
    </row>
    <row r="19" spans="1:33" ht="25.5" customHeight="1" x14ac:dyDescent="0.15">
      <c r="A19" s="820"/>
      <c r="B19" s="821"/>
      <c r="C19" s="109" t="s">
        <v>60</v>
      </c>
      <c r="D19" s="783">
        <f>VLOOKUP($J$3,공급량!$A$7:$Q$37,10,0)</f>
        <v>2303352863</v>
      </c>
      <c r="E19" s="784"/>
      <c r="F19" s="785"/>
      <c r="G19" s="773">
        <f>G18</f>
        <v>2186544966</v>
      </c>
      <c r="H19" s="773"/>
      <c r="I19" s="774"/>
      <c r="J19" s="461">
        <f>G19/D19</f>
        <v>0.9492878842506729</v>
      </c>
      <c r="K19" s="800">
        <f>G19-D19</f>
        <v>-116807897</v>
      </c>
      <c r="L19" s="801"/>
      <c r="M19" s="804">
        <f>HLOOKUP($H$3,판매량계획,10,0)</f>
        <v>54.513976687236372</v>
      </c>
      <c r="N19" s="805"/>
      <c r="O19" s="808">
        <f>G19/((O8+C8)/2)/J3</f>
        <v>51.75653954631953</v>
      </c>
      <c r="P19" s="809"/>
      <c r="R19" s="15"/>
      <c r="S19" s="282" t="s">
        <v>293</v>
      </c>
    </row>
    <row r="20" spans="1:33" ht="25.5" customHeight="1" x14ac:dyDescent="0.15">
      <c r="A20" s="818" t="s">
        <v>121</v>
      </c>
      <c r="B20" s="819"/>
      <c r="C20" s="110" t="s">
        <v>61</v>
      </c>
      <c r="D20" s="765">
        <f>'공급량 계획_MJ(2026년)'!R6</f>
        <v>44048395789</v>
      </c>
      <c r="E20" s="766"/>
      <c r="F20" s="767"/>
      <c r="G20" s="775">
        <f>VLOOKUP($J$3,공급량!$A$7:$Q$37,15,0)</f>
        <v>23072197255</v>
      </c>
      <c r="H20" s="775"/>
      <c r="I20" s="776"/>
      <c r="J20" s="462">
        <f>G20/D20</f>
        <v>0.52379199836289414</v>
      </c>
      <c r="K20" s="849">
        <f>G20-D20</f>
        <v>-20976198534</v>
      </c>
      <c r="L20" s="850"/>
      <c r="M20" s="804"/>
      <c r="N20" s="805"/>
      <c r="O20" s="808"/>
      <c r="P20" s="809"/>
      <c r="S20" s="282" t="s">
        <v>294</v>
      </c>
    </row>
    <row r="21" spans="1:33" ht="24.75" customHeight="1" x14ac:dyDescent="0.15">
      <c r="A21" s="820"/>
      <c r="B21" s="821"/>
      <c r="C21" s="111" t="s">
        <v>60</v>
      </c>
      <c r="D21" s="783">
        <f>VLOOKUP($J$3,공급량!$A$7:$Q$37,14,0)</f>
        <v>23245417937</v>
      </c>
      <c r="E21" s="784"/>
      <c r="F21" s="785"/>
      <c r="G21" s="773">
        <f>G20</f>
        <v>23072197255</v>
      </c>
      <c r="H21" s="773"/>
      <c r="I21" s="774"/>
      <c r="J21" s="463">
        <f>G21/D21</f>
        <v>0.99254817949630059</v>
      </c>
      <c r="K21" s="760">
        <f>VLOOKUP($J$3,공급량!$A$7:$Q$37,17,0)</f>
        <v>-173220682</v>
      </c>
      <c r="L21" s="761"/>
      <c r="M21" s="804"/>
      <c r="N21" s="805"/>
      <c r="O21" s="808"/>
      <c r="P21" s="809"/>
      <c r="R21" s="59"/>
    </row>
    <row r="22" spans="1:33" ht="25.5" customHeight="1" x14ac:dyDescent="0.15">
      <c r="A22" s="833" t="s">
        <v>122</v>
      </c>
      <c r="B22" s="834"/>
      <c r="C22" s="107" t="s">
        <v>62</v>
      </c>
      <c r="D22" s="765" t="s">
        <v>346</v>
      </c>
      <c r="E22" s="766"/>
      <c r="F22" s="767"/>
      <c r="G22" s="775">
        <f>VLOOKUP($J$3,공급량!$A$7:$V$37,20,0)</f>
        <v>2367844372</v>
      </c>
      <c r="H22" s="775"/>
      <c r="I22" s="776"/>
      <c r="J22" s="464">
        <f>G18/G22</f>
        <v>0.92343271874457467</v>
      </c>
      <c r="K22" s="779">
        <f>G18-G22</f>
        <v>-181299406</v>
      </c>
      <c r="L22" s="780"/>
      <c r="M22" s="804"/>
      <c r="N22" s="805"/>
      <c r="O22" s="808"/>
      <c r="P22" s="809"/>
      <c r="S22" s="282" t="s">
        <v>270</v>
      </c>
    </row>
    <row r="23" spans="1:33" ht="25.5" customHeight="1" thickBot="1" x14ac:dyDescent="0.2">
      <c r="A23" s="835"/>
      <c r="B23" s="836"/>
      <c r="C23" s="123" t="s">
        <v>63</v>
      </c>
      <c r="D23" s="768" t="s">
        <v>346</v>
      </c>
      <c r="E23" s="769"/>
      <c r="F23" s="770"/>
      <c r="G23" s="777">
        <f>VLOOKUP($J$3,공급량!$A$7:$V$37,22,0)</f>
        <v>24166235687</v>
      </c>
      <c r="H23" s="777"/>
      <c r="I23" s="778"/>
      <c r="J23" s="465">
        <f>G20/G23</f>
        <v>0.9547286368398481</v>
      </c>
      <c r="K23" s="781">
        <f>G20-G23</f>
        <v>-1094038432</v>
      </c>
      <c r="L23" s="782"/>
      <c r="M23" s="806"/>
      <c r="N23" s="807"/>
      <c r="O23" s="810"/>
      <c r="P23" s="811"/>
    </row>
    <row r="24" spans="1:33" ht="25.5" customHeight="1" x14ac:dyDescent="0.15">
      <c r="A24" s="244"/>
      <c r="B24" s="244"/>
      <c r="C24" s="9"/>
      <c r="D24" s="60"/>
      <c r="E24" s="18"/>
      <c r="F24" s="503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845" t="s">
        <v>104</v>
      </c>
      <c r="B26" s="793"/>
      <c r="C26" s="793" t="s">
        <v>105</v>
      </c>
      <c r="D26" s="847" t="s">
        <v>106</v>
      </c>
      <c r="E26" s="847"/>
      <c r="F26" s="847"/>
      <c r="G26" s="847"/>
      <c r="H26" s="847" t="s">
        <v>107</v>
      </c>
      <c r="I26" s="847"/>
      <c r="J26" s="847"/>
      <c r="K26" s="847"/>
      <c r="L26" s="847" t="s">
        <v>108</v>
      </c>
      <c r="M26" s="847"/>
      <c r="N26" s="793" t="s">
        <v>116</v>
      </c>
      <c r="O26" s="793"/>
      <c r="P26" s="794"/>
      <c r="Q26" s="282"/>
      <c r="R26" s="16"/>
      <c r="S26" s="364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846"/>
      <c r="B27" s="829"/>
      <c r="C27" s="829"/>
      <c r="D27" s="265" t="s">
        <v>109</v>
      </c>
      <c r="E27" s="841" t="s">
        <v>112</v>
      </c>
      <c r="F27" s="841"/>
      <c r="G27" s="265" t="s">
        <v>110</v>
      </c>
      <c r="H27" s="265" t="s">
        <v>111</v>
      </c>
      <c r="I27" s="852" t="s">
        <v>45</v>
      </c>
      <c r="J27" s="852"/>
      <c r="K27" s="265" t="s">
        <v>113</v>
      </c>
      <c r="L27" s="265" t="s">
        <v>114</v>
      </c>
      <c r="M27" s="265" t="s">
        <v>115</v>
      </c>
      <c r="N27" s="829"/>
      <c r="O27" s="829"/>
      <c r="P27" s="851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843" t="s">
        <v>65</v>
      </c>
      <c r="B28" s="844"/>
      <c r="C28" s="555">
        <v>1386646</v>
      </c>
      <c r="D28" s="389"/>
      <c r="E28" s="848">
        <f>영업현황!J15</f>
        <v>1259</v>
      </c>
      <c r="F28" s="848"/>
      <c r="G28" s="390"/>
      <c r="H28" s="390"/>
      <c r="I28" s="848">
        <f>E28+S28</f>
        <v>4139</v>
      </c>
      <c r="J28" s="848"/>
      <c r="K28" s="365"/>
      <c r="L28" s="365"/>
      <c r="M28" s="390"/>
      <c r="N28" s="424">
        <f>C28+E28</f>
        <v>1387905</v>
      </c>
      <c r="O28" s="425"/>
      <c r="P28" s="426"/>
      <c r="Q28" s="282"/>
      <c r="R28" s="410" t="b">
        <f>EXACT(N28,영업현황!J16)</f>
        <v>1</v>
      </c>
      <c r="S28" s="338">
        <v>2880</v>
      </c>
      <c r="T28" s="282"/>
      <c r="U28" s="282"/>
      <c r="V28" s="506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845" t="s">
        <v>123</v>
      </c>
      <c r="B31" s="793"/>
      <c r="C31" s="793" t="s">
        <v>67</v>
      </c>
      <c r="D31" s="847" t="s">
        <v>124</v>
      </c>
      <c r="E31" s="847"/>
      <c r="F31" s="847"/>
      <c r="G31" s="847"/>
      <c r="H31" s="847" t="s">
        <v>107</v>
      </c>
      <c r="I31" s="847"/>
      <c r="J31" s="847"/>
      <c r="K31" s="847"/>
      <c r="L31" s="847" t="s">
        <v>125</v>
      </c>
      <c r="M31" s="847"/>
      <c r="N31" s="793" t="s">
        <v>126</v>
      </c>
      <c r="O31" s="793"/>
      <c r="P31" s="794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846"/>
      <c r="B32" s="829"/>
      <c r="C32" s="829"/>
      <c r="D32" s="265" t="s">
        <v>127</v>
      </c>
      <c r="E32" s="841" t="s">
        <v>128</v>
      </c>
      <c r="F32" s="841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829"/>
      <c r="O32" s="829"/>
      <c r="P32" s="851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839" t="s">
        <v>68</v>
      </c>
      <c r="B33" s="840"/>
      <c r="C33" s="556">
        <v>1392000</v>
      </c>
      <c r="D33" s="391">
        <f>HLOOKUP($H$3,계약전계획,7,0)</f>
        <v>2382</v>
      </c>
      <c r="E33" s="842">
        <f>영업현황!J9+L33</f>
        <v>388</v>
      </c>
      <c r="F33" s="842"/>
      <c r="G33" s="392">
        <f>E33/D33</f>
        <v>0.16288832913518053</v>
      </c>
      <c r="H33" s="393">
        <f>'계약전 계획(2026년)'!S10</f>
        <v>20164</v>
      </c>
      <c r="I33" s="393">
        <f>S33+E33</f>
        <v>1821</v>
      </c>
      <c r="J33" s="392">
        <f>I33/H33</f>
        <v>9.0309462408252328E-2</v>
      </c>
      <c r="K33" s="392">
        <f>I33/V33</f>
        <v>0.31001021450459654</v>
      </c>
      <c r="L33" s="393">
        <f>영업현황!J8</f>
        <v>50</v>
      </c>
      <c r="M33" s="393">
        <f>T33+L33</f>
        <v>360</v>
      </c>
      <c r="N33" s="427">
        <f>C33+E33-L33</f>
        <v>1392338</v>
      </c>
      <c r="O33" s="428"/>
      <c r="P33" s="429"/>
      <c r="Q33" s="282"/>
      <c r="R33" s="410" t="b">
        <f>EXACT(N33,영업현황!J10)</f>
        <v>1</v>
      </c>
      <c r="S33" s="338">
        <v>1433</v>
      </c>
      <c r="T33" s="338">
        <v>310</v>
      </c>
      <c r="U33" s="282"/>
      <c r="V33" s="366">
        <f>HLOOKUP($H$3,계약전계획,9,0)</f>
        <v>5874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8" t="b">
        <f>EXACT(F8,L33)</f>
        <v>1</v>
      </c>
      <c r="M35" s="438" t="b">
        <f>EXACT(M33,L8)</f>
        <v>1</v>
      </c>
      <c r="N35" s="436"/>
      <c r="O35" s="437"/>
      <c r="P35" s="437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N31:P32"/>
    <mergeCell ref="N26:P27"/>
    <mergeCell ref="H26:K26"/>
    <mergeCell ref="L26:M26"/>
    <mergeCell ref="H31:K31"/>
    <mergeCell ref="L31:M31"/>
    <mergeCell ref="I27:J27"/>
    <mergeCell ref="I28:J28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F3:G3"/>
    <mergeCell ref="J3:K3"/>
    <mergeCell ref="A9:A10"/>
    <mergeCell ref="A11:B11"/>
    <mergeCell ref="A12:B12"/>
    <mergeCell ref="C6:C7"/>
    <mergeCell ref="D6:I6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topLeftCell="A26" workbookViewId="0">
      <selection activeCell="E43" sqref="E43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3">
        <f>MONTH(영업현황!A2)</f>
        <v>5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46173</v>
      </c>
      <c r="Z3" s="167">
        <f>EOMONTH(Y4,-1)</f>
        <v>46142</v>
      </c>
      <c r="AA3" s="134">
        <f>Z3-Y3</f>
        <v>-31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46173</v>
      </c>
    </row>
    <row r="5" spans="1:28" ht="24" customHeight="1" thickTop="1" x14ac:dyDescent="0.15">
      <c r="A5" s="853" t="s">
        <v>23</v>
      </c>
      <c r="B5" s="854"/>
      <c r="C5" s="82"/>
      <c r="D5" s="82"/>
      <c r="E5" s="82"/>
      <c r="F5" s="439">
        <f>HLOOKUP($A$1,'공급량 계획_MJ(2026년)'!$D$4:$P$7,3,0)</f>
        <v>2303352863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8</v>
      </c>
      <c r="Z5" s="76"/>
    </row>
    <row r="6" spans="1:28" s="134" customFormat="1" ht="24" customHeight="1" x14ac:dyDescent="0.15">
      <c r="A6" s="855" t="s">
        <v>193</v>
      </c>
      <c r="B6" s="856"/>
      <c r="C6" s="177"/>
      <c r="D6" s="177" t="s">
        <v>414</v>
      </c>
      <c r="E6" s="177" t="s">
        <v>414</v>
      </c>
      <c r="F6" s="178">
        <v>101178917</v>
      </c>
      <c r="G6" s="177">
        <v>84359409</v>
      </c>
      <c r="H6" s="179"/>
      <c r="I6" s="177">
        <v>-16819508</v>
      </c>
      <c r="J6" s="178">
        <v>3035367510</v>
      </c>
      <c r="K6" s="177">
        <v>2811637894</v>
      </c>
      <c r="L6" s="179">
        <v>92.629241261134794</v>
      </c>
      <c r="M6" s="177">
        <v>-223729616</v>
      </c>
      <c r="N6" s="178">
        <v>20942065074</v>
      </c>
      <c r="O6" s="177">
        <v>20885652289</v>
      </c>
      <c r="P6" s="179">
        <v>99.730622735712004</v>
      </c>
      <c r="Q6" s="180">
        <v>-56413163</v>
      </c>
      <c r="R6" s="181">
        <v>82434543</v>
      </c>
      <c r="S6" s="182">
        <v>102.33502355923778</v>
      </c>
      <c r="T6" s="177">
        <v>3033061532</v>
      </c>
      <c r="U6" s="179">
        <v>92.699665481102414</v>
      </c>
      <c r="V6" s="177">
        <v>21798391315</v>
      </c>
      <c r="W6" s="196">
        <v>95.812814749444726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금</v>
      </c>
      <c r="C7" s="430"/>
      <c r="D7" s="152" t="str">
        <f>IF(C7="","",D5+C7)</f>
        <v/>
      </c>
      <c r="E7" s="152" t="str">
        <f>IF(C7="","",E6+C7)</f>
        <v/>
      </c>
      <c r="F7" s="449">
        <f>ROUND($F$5/31,0)+Y5</f>
        <v>74301713</v>
      </c>
      <c r="G7" s="430">
        <v>67561296</v>
      </c>
      <c r="H7" s="154"/>
      <c r="I7" s="152">
        <f t="shared" ref="I7:I35" si="0">IF(G7="","",G7-F7)</f>
        <v>-6740417</v>
      </c>
      <c r="J7" s="153">
        <f>IF(F7="","",J5+F7)</f>
        <v>74301713</v>
      </c>
      <c r="K7" s="152">
        <f>IF(G7="","",K5+G7)</f>
        <v>67561296</v>
      </c>
      <c r="L7" s="154">
        <f t="shared" ref="L7:L15" si="1">IF(K7="","",K7/J7*100)</f>
        <v>90.928315475041614</v>
      </c>
      <c r="M7" s="155">
        <f t="shared" ref="M7:M15" si="2">IF(K7="","",K7-J7)</f>
        <v>-6740417</v>
      </c>
      <c r="N7" s="451">
        <f>IF(F7="","",N6+F7)</f>
        <v>21016366787</v>
      </c>
      <c r="O7" s="155">
        <f>IF(G7="","",O6+G7)</f>
        <v>20953213585</v>
      </c>
      <c r="P7" s="154">
        <f t="shared" ref="P7:P15" si="3">IF(O7="","",O7/N7*100)</f>
        <v>99.699504663959971</v>
      </c>
      <c r="Q7" s="173">
        <f t="shared" ref="Q7:Q15" si="4">IF(O7="","",O7-N7)</f>
        <v>-63153202</v>
      </c>
      <c r="R7" s="430">
        <v>75875079</v>
      </c>
      <c r="S7" s="154">
        <f t="shared" ref="S7:S34" si="5">IF(G7=0,"",G7/R7*100)</f>
        <v>89.04280152380467</v>
      </c>
      <c r="T7" s="155">
        <f>R7</f>
        <v>75875079</v>
      </c>
      <c r="U7" s="157">
        <f t="shared" ref="U7:U16" si="6">IF(K7="","",K7/T7*100)</f>
        <v>89.04280152380467</v>
      </c>
      <c r="V7" s="156">
        <f>V6+R7</f>
        <v>21874266394</v>
      </c>
      <c r="W7" s="158">
        <f t="shared" ref="W7:W16" si="7">IF(O7="","",O7/V7*100)</f>
        <v>95.789331663014579</v>
      </c>
      <c r="Y7" s="314" t="str">
        <f>TEXT(DATE(YEAR(영업현황!$A$2)-1,$A$1,A7),"aaa")</f>
        <v>목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토</v>
      </c>
      <c r="C8" s="431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ROUND($F$5/31,0)</f>
        <v>74301705</v>
      </c>
      <c r="G8" s="431">
        <v>61812507</v>
      </c>
      <c r="H8" s="102"/>
      <c r="I8" s="100">
        <f t="shared" si="0"/>
        <v>-12489198</v>
      </c>
      <c r="J8" s="101">
        <f>IF(F8="","",J7+F8)</f>
        <v>148603418</v>
      </c>
      <c r="K8" s="100">
        <f>IF(G8="","",K7+G8)</f>
        <v>129373803</v>
      </c>
      <c r="L8" s="102">
        <f t="shared" si="1"/>
        <v>87.059776108245373</v>
      </c>
      <c r="M8" s="103">
        <f t="shared" si="2"/>
        <v>-19229615</v>
      </c>
      <c r="N8" s="104">
        <f t="shared" ref="N8:N36" si="10">IF(F8="","",N7+F8)</f>
        <v>21090668492</v>
      </c>
      <c r="O8" s="103">
        <f t="shared" ref="O8:O35" si="11">IF(G8="","",O7+G8)</f>
        <v>21015026092</v>
      </c>
      <c r="P8" s="102">
        <f t="shared" si="3"/>
        <v>99.641346598242279</v>
      </c>
      <c r="Q8" s="174">
        <f t="shared" si="4"/>
        <v>-75642400</v>
      </c>
      <c r="R8" s="431">
        <v>76768865</v>
      </c>
      <c r="S8" s="102">
        <f t="shared" si="5"/>
        <v>80.517677316188013</v>
      </c>
      <c r="T8" s="103">
        <f>T7+R8</f>
        <v>152643944</v>
      </c>
      <c r="U8" s="137">
        <f t="shared" si="6"/>
        <v>84.755280563243304</v>
      </c>
      <c r="V8" s="136">
        <f t="shared" ref="V8:V34" si="12">V7+R8</f>
        <v>21951035259</v>
      </c>
      <c r="W8" s="138">
        <f t="shared" si="7"/>
        <v>95.735922447592841</v>
      </c>
      <c r="Y8" s="314" t="str">
        <f>TEXT(DATE(YEAR(영업현황!$A$2)-1,$A$1,A8),"aaa")</f>
        <v>금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일</v>
      </c>
      <c r="C9" s="431"/>
      <c r="D9" s="100" t="str">
        <f t="shared" si="8"/>
        <v/>
      </c>
      <c r="E9" s="100" t="str">
        <f t="shared" si="9"/>
        <v/>
      </c>
      <c r="F9" s="101">
        <f t="shared" ref="F9:F37" si="14">ROUND($F$5/31,0)</f>
        <v>74301705</v>
      </c>
      <c r="G9" s="431">
        <v>64298422</v>
      </c>
      <c r="H9" s="102"/>
      <c r="I9" s="100">
        <f t="shared" si="0"/>
        <v>-10003283</v>
      </c>
      <c r="J9" s="101">
        <f t="shared" ref="J9:J15" si="15">IF(F9="","",J8+F9)</f>
        <v>222905123</v>
      </c>
      <c r="K9" s="100">
        <f t="shared" ref="K9:K35" si="16">IF(G9="","",K8+G9)</f>
        <v>193672225</v>
      </c>
      <c r="L9" s="102">
        <f t="shared" si="1"/>
        <v>86.885497467907001</v>
      </c>
      <c r="M9" s="103">
        <f t="shared" si="2"/>
        <v>-29232898</v>
      </c>
      <c r="N9" s="104">
        <f t="shared" si="10"/>
        <v>21164970197</v>
      </c>
      <c r="O9" s="103">
        <f t="shared" si="11"/>
        <v>21079324514</v>
      </c>
      <c r="P9" s="102">
        <f t="shared" si="3"/>
        <v>99.595342293408279</v>
      </c>
      <c r="Q9" s="174">
        <f t="shared" si="4"/>
        <v>-85645683</v>
      </c>
      <c r="R9" s="431">
        <v>77504843</v>
      </c>
      <c r="S9" s="102">
        <f t="shared" si="5"/>
        <v>82.96052157669682</v>
      </c>
      <c r="T9" s="103">
        <f t="shared" ref="T9:T34" si="17">T8+R9</f>
        <v>230148787</v>
      </c>
      <c r="U9" s="137">
        <f t="shared" si="6"/>
        <v>84.150878014403787</v>
      </c>
      <c r="V9" s="136">
        <f t="shared" si="12"/>
        <v>22028540102</v>
      </c>
      <c r="W9" s="138">
        <f t="shared" si="7"/>
        <v>95.690973693196227</v>
      </c>
      <c r="Y9" s="314" t="str">
        <f>TEXT(DATE(YEAR(영업현황!$A$2)-1,$A$1,A9),"aaa")</f>
        <v>토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월</v>
      </c>
      <c r="C10" s="431"/>
      <c r="D10" s="100" t="str">
        <f t="shared" si="8"/>
        <v/>
      </c>
      <c r="E10" s="100" t="str">
        <f t="shared" si="9"/>
        <v/>
      </c>
      <c r="F10" s="101">
        <f t="shared" si="14"/>
        <v>74301705</v>
      </c>
      <c r="G10" s="431">
        <v>77863458</v>
      </c>
      <c r="H10" s="102"/>
      <c r="I10" s="100">
        <f t="shared" si="0"/>
        <v>3561753</v>
      </c>
      <c r="J10" s="101">
        <f t="shared" si="15"/>
        <v>297206828</v>
      </c>
      <c r="K10" s="100">
        <f t="shared" si="16"/>
        <v>271535683</v>
      </c>
      <c r="L10" s="102">
        <f t="shared" si="1"/>
        <v>91.362531886380481</v>
      </c>
      <c r="M10" s="103">
        <f t="shared" si="2"/>
        <v>-25671145</v>
      </c>
      <c r="N10" s="104">
        <f t="shared" si="10"/>
        <v>21239271902</v>
      </c>
      <c r="O10" s="103">
        <f t="shared" si="11"/>
        <v>21157187972</v>
      </c>
      <c r="P10" s="102">
        <f t="shared" si="3"/>
        <v>99.613527571101585</v>
      </c>
      <c r="Q10" s="174">
        <f t="shared" si="4"/>
        <v>-82083930</v>
      </c>
      <c r="R10" s="431">
        <v>66451872</v>
      </c>
      <c r="S10" s="102">
        <f t="shared" si="5"/>
        <v>117.17270809165466</v>
      </c>
      <c r="T10" s="103">
        <f t="shared" si="17"/>
        <v>296600659</v>
      </c>
      <c r="U10" s="137">
        <f t="shared" si="6"/>
        <v>91.549251412823068</v>
      </c>
      <c r="V10" s="136">
        <f t="shared" si="12"/>
        <v>22094991974</v>
      </c>
      <c r="W10" s="138">
        <f t="shared" si="7"/>
        <v>95.755581160185315</v>
      </c>
      <c r="Y10" s="314" t="str">
        <f>TEXT(DATE(YEAR(영업현황!$A$2)-1,$A$1,A10),"aaa")</f>
        <v>일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화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74301705</v>
      </c>
      <c r="G11" s="176">
        <v>76231958</v>
      </c>
      <c r="H11" s="102"/>
      <c r="I11" s="100">
        <f t="shared" si="0"/>
        <v>1930253</v>
      </c>
      <c r="J11" s="101">
        <f t="shared" si="15"/>
        <v>371508533</v>
      </c>
      <c r="K11" s="100">
        <f t="shared" si="16"/>
        <v>347767641</v>
      </c>
      <c r="L11" s="102">
        <f t="shared" si="1"/>
        <v>93.609597117921382</v>
      </c>
      <c r="M11" s="103">
        <f t="shared" si="2"/>
        <v>-23740892</v>
      </c>
      <c r="N11" s="104">
        <f t="shared" si="10"/>
        <v>21313573607</v>
      </c>
      <c r="O11" s="103">
        <f t="shared" si="11"/>
        <v>21233419930</v>
      </c>
      <c r="P11" s="102">
        <f t="shared" si="3"/>
        <v>99.62393131026289</v>
      </c>
      <c r="Q11" s="174">
        <f t="shared" si="4"/>
        <v>-80153677</v>
      </c>
      <c r="R11" s="176">
        <v>72644756</v>
      </c>
      <c r="S11" s="102">
        <f t="shared" si="5"/>
        <v>104.93800543565732</v>
      </c>
      <c r="T11" s="103">
        <f t="shared" si="17"/>
        <v>369245415</v>
      </c>
      <c r="U11" s="137">
        <f t="shared" si="6"/>
        <v>94.183333596708309</v>
      </c>
      <c r="V11" s="136">
        <f t="shared" si="12"/>
        <v>22167636730</v>
      </c>
      <c r="W11" s="138">
        <f t="shared" si="7"/>
        <v>95.78567254877602</v>
      </c>
      <c r="Y11" s="314" t="str">
        <f>TEXT(DATE(YEAR(영업현황!$A$2)-1,$A$1,A11),"aaa")</f>
        <v>월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수</v>
      </c>
      <c r="C12" s="431"/>
      <c r="D12" s="100" t="str">
        <f t="shared" si="8"/>
        <v/>
      </c>
      <c r="E12" s="100" t="str">
        <f t="shared" si="9"/>
        <v/>
      </c>
      <c r="F12" s="101">
        <f t="shared" si="14"/>
        <v>74301705</v>
      </c>
      <c r="G12" s="431">
        <v>83879517</v>
      </c>
      <c r="H12" s="102"/>
      <c r="I12" s="100">
        <f t="shared" si="0"/>
        <v>9577812</v>
      </c>
      <c r="J12" s="101">
        <f t="shared" si="15"/>
        <v>445810238</v>
      </c>
      <c r="K12" s="100">
        <f t="shared" si="16"/>
        <v>431647158</v>
      </c>
      <c r="L12" s="102">
        <f t="shared" si="1"/>
        <v>96.823069819226532</v>
      </c>
      <c r="M12" s="103">
        <f t="shared" si="2"/>
        <v>-14163080</v>
      </c>
      <c r="N12" s="104">
        <f t="shared" si="10"/>
        <v>21387875312</v>
      </c>
      <c r="O12" s="103">
        <f t="shared" si="11"/>
        <v>21317299447</v>
      </c>
      <c r="P12" s="102">
        <f t="shared" si="3"/>
        <v>99.670019279753319</v>
      </c>
      <c r="Q12" s="174">
        <f t="shared" si="4"/>
        <v>-70575865</v>
      </c>
      <c r="R12" s="431">
        <v>84809297</v>
      </c>
      <c r="S12" s="102">
        <f t="shared" si="5"/>
        <v>98.903681515011272</v>
      </c>
      <c r="T12" s="103">
        <f t="shared" si="17"/>
        <v>454054712</v>
      </c>
      <c r="U12" s="137">
        <f t="shared" si="6"/>
        <v>95.06501013913055</v>
      </c>
      <c r="V12" s="136">
        <f t="shared" si="12"/>
        <v>22252446027</v>
      </c>
      <c r="W12" s="138">
        <f t="shared" si="7"/>
        <v>95.797556013099239</v>
      </c>
      <c r="Y12" s="314" t="str">
        <f>TEXT(DATE(YEAR(영업현황!$A$2)-1,$A$1,A12),"aaa")</f>
        <v>화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목</v>
      </c>
      <c r="C13" s="431"/>
      <c r="D13" s="100" t="str">
        <f t="shared" si="8"/>
        <v/>
      </c>
      <c r="E13" s="100" t="str">
        <f t="shared" si="9"/>
        <v/>
      </c>
      <c r="F13" s="101">
        <f t="shared" si="14"/>
        <v>74301705</v>
      </c>
      <c r="G13" s="431">
        <v>82243044</v>
      </c>
      <c r="H13" s="102"/>
      <c r="I13" s="100">
        <f t="shared" si="0"/>
        <v>7941339</v>
      </c>
      <c r="J13" s="101">
        <f t="shared" si="15"/>
        <v>520111943</v>
      </c>
      <c r="K13" s="100">
        <f t="shared" si="16"/>
        <v>513890202</v>
      </c>
      <c r="L13" s="102">
        <f t="shared" si="1"/>
        <v>98.803768864811474</v>
      </c>
      <c r="M13" s="103">
        <f t="shared" si="2"/>
        <v>-6221741</v>
      </c>
      <c r="N13" s="104">
        <f t="shared" si="10"/>
        <v>21462177017</v>
      </c>
      <c r="O13" s="103">
        <f t="shared" si="11"/>
        <v>21399542491</v>
      </c>
      <c r="P13" s="102">
        <f t="shared" si="3"/>
        <v>99.708163221511086</v>
      </c>
      <c r="Q13" s="174">
        <f t="shared" si="4"/>
        <v>-62634526</v>
      </c>
      <c r="R13" s="176">
        <v>94713201</v>
      </c>
      <c r="S13" s="102">
        <f t="shared" si="5"/>
        <v>86.833770933367575</v>
      </c>
      <c r="T13" s="103">
        <f t="shared" si="17"/>
        <v>548767913</v>
      </c>
      <c r="U13" s="137">
        <f t="shared" si="6"/>
        <v>93.644360361863946</v>
      </c>
      <c r="V13" s="136">
        <f t="shared" si="12"/>
        <v>22347159228</v>
      </c>
      <c r="W13" s="138">
        <f t="shared" si="7"/>
        <v>95.759565109230181</v>
      </c>
      <c r="Y13" s="314" t="str">
        <f>TEXT(DATE(YEAR(영업현황!$A$2)-1,$A$1,A13),"aaa")</f>
        <v>수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금</v>
      </c>
      <c r="C14" s="431"/>
      <c r="D14" s="100" t="str">
        <f t="shared" si="8"/>
        <v/>
      </c>
      <c r="E14" s="100" t="str">
        <f t="shared" si="9"/>
        <v/>
      </c>
      <c r="F14" s="101">
        <f t="shared" si="14"/>
        <v>74301705</v>
      </c>
      <c r="G14" s="431">
        <v>81498487</v>
      </c>
      <c r="H14" s="102"/>
      <c r="I14" s="100">
        <f t="shared" si="0"/>
        <v>7196782</v>
      </c>
      <c r="J14" s="101">
        <f t="shared" si="15"/>
        <v>594413648</v>
      </c>
      <c r="K14" s="100">
        <f t="shared" si="16"/>
        <v>595388689</v>
      </c>
      <c r="L14" s="102">
        <f t="shared" si="1"/>
        <v>100.16403408691585</v>
      </c>
      <c r="M14" s="103">
        <f t="shared" si="2"/>
        <v>975041</v>
      </c>
      <c r="N14" s="104">
        <f t="shared" si="10"/>
        <v>21536478722</v>
      </c>
      <c r="O14" s="103">
        <f t="shared" si="11"/>
        <v>21481040978</v>
      </c>
      <c r="P14" s="102">
        <f t="shared" si="3"/>
        <v>99.742586776995395</v>
      </c>
      <c r="Q14" s="174">
        <f t="shared" si="4"/>
        <v>-55437744</v>
      </c>
      <c r="R14" s="431">
        <v>91074331</v>
      </c>
      <c r="S14" s="102">
        <f t="shared" si="5"/>
        <v>89.485682853931692</v>
      </c>
      <c r="T14" s="103">
        <f t="shared" si="17"/>
        <v>639842244</v>
      </c>
      <c r="U14" s="137">
        <f t="shared" si="6"/>
        <v>93.052419496078159</v>
      </c>
      <c r="V14" s="136">
        <f t="shared" si="12"/>
        <v>22438233559</v>
      </c>
      <c r="W14" s="138">
        <f t="shared" si="7"/>
        <v>95.734100108713463</v>
      </c>
      <c r="Y14" s="314" t="str">
        <f>TEXT(DATE(YEAR(영업현황!$A$2)-1,$A$1,A14),"aaa")</f>
        <v>목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토</v>
      </c>
      <c r="C15" s="431"/>
      <c r="D15" s="100" t="str">
        <f t="shared" si="8"/>
        <v/>
      </c>
      <c r="E15" s="100" t="str">
        <f t="shared" si="9"/>
        <v/>
      </c>
      <c r="F15" s="101">
        <f t="shared" si="14"/>
        <v>74301705</v>
      </c>
      <c r="G15" s="431">
        <v>67159928</v>
      </c>
      <c r="H15" s="102"/>
      <c r="I15" s="100">
        <f t="shared" si="0"/>
        <v>-7141777</v>
      </c>
      <c r="J15" s="101">
        <f t="shared" si="15"/>
        <v>668715353</v>
      </c>
      <c r="K15" s="100">
        <f t="shared" si="16"/>
        <v>662548617</v>
      </c>
      <c r="L15" s="102">
        <f t="shared" si="1"/>
        <v>99.077823475663493</v>
      </c>
      <c r="M15" s="103">
        <f t="shared" si="2"/>
        <v>-6166736</v>
      </c>
      <c r="N15" s="104">
        <f t="shared" si="10"/>
        <v>21610780427</v>
      </c>
      <c r="O15" s="103">
        <f t="shared" si="11"/>
        <v>21548200906</v>
      </c>
      <c r="P15" s="102">
        <f t="shared" si="3"/>
        <v>99.710424520709054</v>
      </c>
      <c r="Q15" s="174">
        <f t="shared" si="4"/>
        <v>-62579521</v>
      </c>
      <c r="R15" s="431">
        <v>97933447</v>
      </c>
      <c r="S15" s="102">
        <f t="shared" si="5"/>
        <v>68.577110330855604</v>
      </c>
      <c r="T15" s="103">
        <f t="shared" si="17"/>
        <v>737775691</v>
      </c>
      <c r="U15" s="137">
        <f t="shared" si="6"/>
        <v>89.803530406642253</v>
      </c>
      <c r="V15" s="136">
        <f t="shared" si="12"/>
        <v>22536167006</v>
      </c>
      <c r="W15" s="138">
        <f t="shared" si="7"/>
        <v>95.616086356934773</v>
      </c>
      <c r="Y15" s="314" t="str">
        <f>TEXT(DATE(YEAR(영업현황!$A$2)-1,$A$1,A15),"aaa")</f>
        <v>금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일</v>
      </c>
      <c r="C16" s="431"/>
      <c r="D16" s="100" t="str">
        <f t="shared" si="8"/>
        <v/>
      </c>
      <c r="E16" s="100" t="str">
        <f t="shared" si="9"/>
        <v/>
      </c>
      <c r="F16" s="101">
        <f t="shared" si="14"/>
        <v>74301705</v>
      </c>
      <c r="G16" s="431">
        <v>59228738</v>
      </c>
      <c r="H16" s="102"/>
      <c r="I16" s="100">
        <f t="shared" si="0"/>
        <v>-15072967</v>
      </c>
      <c r="J16" s="101">
        <f>IF(F16="","",J15+F16)</f>
        <v>743017058</v>
      </c>
      <c r="K16" s="100">
        <f t="shared" si="16"/>
        <v>721777355</v>
      </c>
      <c r="L16" s="102">
        <f>IF(K16="","",K16/J16*100)</f>
        <v>97.141424578168966</v>
      </c>
      <c r="M16" s="103">
        <f>IF(K16="","",K16-J16)</f>
        <v>-21239703</v>
      </c>
      <c r="N16" s="104">
        <f t="shared" si="10"/>
        <v>21685082132</v>
      </c>
      <c r="O16" s="103">
        <f t="shared" si="11"/>
        <v>21607429644</v>
      </c>
      <c r="P16" s="102">
        <f>IF(O16="","",O16/N16*100)</f>
        <v>99.641908259662941</v>
      </c>
      <c r="Q16" s="174">
        <f>IF(O16="","",O16-N16)</f>
        <v>-77652488</v>
      </c>
      <c r="R16" s="431">
        <v>78318164</v>
      </c>
      <c r="S16" s="102">
        <f t="shared" si="5"/>
        <v>75.625799910222611</v>
      </c>
      <c r="T16" s="103">
        <f t="shared" si="17"/>
        <v>816093855</v>
      </c>
      <c r="U16" s="137">
        <f t="shared" si="6"/>
        <v>88.442934667116205</v>
      </c>
      <c r="V16" s="136">
        <f t="shared" si="12"/>
        <v>22614485170</v>
      </c>
      <c r="W16" s="138">
        <f t="shared" si="7"/>
        <v>95.546856280699487</v>
      </c>
      <c r="Y16" s="314" t="str">
        <f>TEXT(DATE(YEAR(영업현황!$A$2)-1,$A$1,A16),"aaa")</f>
        <v>토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월</v>
      </c>
      <c r="C17" s="431"/>
      <c r="D17" s="100" t="str">
        <f t="shared" si="8"/>
        <v/>
      </c>
      <c r="E17" s="100" t="str">
        <f t="shared" si="9"/>
        <v/>
      </c>
      <c r="F17" s="101">
        <f t="shared" si="14"/>
        <v>74301705</v>
      </c>
      <c r="G17" s="431">
        <v>75817145</v>
      </c>
      <c r="H17" s="102"/>
      <c r="I17" s="100">
        <f t="shared" si="0"/>
        <v>1515440</v>
      </c>
      <c r="J17" s="101">
        <f t="shared" ref="J17:J36" si="18">IF(F17="","",J16+F17)</f>
        <v>817318763</v>
      </c>
      <c r="K17" s="100">
        <f t="shared" si="16"/>
        <v>797594500</v>
      </c>
      <c r="L17" s="102">
        <f t="shared" ref="L17:L35" si="19">IF(K17="","",K17/J17*100)</f>
        <v>97.586711098176522</v>
      </c>
      <c r="M17" s="103">
        <f t="shared" ref="M17:M35" si="20">IF(K17="","",K17-J17)</f>
        <v>-19724263</v>
      </c>
      <c r="N17" s="104">
        <f t="shared" si="10"/>
        <v>21759383837</v>
      </c>
      <c r="O17" s="103">
        <f t="shared" si="11"/>
        <v>21683246789</v>
      </c>
      <c r="P17" s="102">
        <f t="shared" ref="P17:P35" si="21">IF(O17="","",O17/N17*100)</f>
        <v>99.650095569937349</v>
      </c>
      <c r="Q17" s="174">
        <f t="shared" ref="Q17:Q35" si="22">IF(O17="","",O17-N17)</f>
        <v>-76137048</v>
      </c>
      <c r="R17" s="431">
        <v>69180671</v>
      </c>
      <c r="S17" s="102">
        <f t="shared" si="5"/>
        <v>109.59295986013203</v>
      </c>
      <c r="T17" s="103">
        <f t="shared" si="17"/>
        <v>885274526</v>
      </c>
      <c r="U17" s="137">
        <f>IF(K17="","",K17/T17*100)</f>
        <v>90.09572472437776</v>
      </c>
      <c r="V17" s="136">
        <f t="shared" si="12"/>
        <v>22683665841</v>
      </c>
      <c r="W17" s="138">
        <f>IF(O17="","",O17/V17*100)</f>
        <v>95.589694104064193</v>
      </c>
      <c r="Y17" s="314" t="str">
        <f>TEXT(DATE(YEAR(영업현황!$A$2)-1,$A$1,A17),"aaa")</f>
        <v>일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화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74301705</v>
      </c>
      <c r="G18" s="176">
        <v>79290316</v>
      </c>
      <c r="H18" s="102"/>
      <c r="I18" s="100">
        <f t="shared" si="0"/>
        <v>4988611</v>
      </c>
      <c r="J18" s="101">
        <f t="shared" si="18"/>
        <v>891620468</v>
      </c>
      <c r="K18" s="100">
        <f t="shared" si="16"/>
        <v>876884816</v>
      </c>
      <c r="L18" s="102">
        <f t="shared" si="19"/>
        <v>98.347317885932611</v>
      </c>
      <c r="M18" s="103">
        <f t="shared" si="20"/>
        <v>-14735652</v>
      </c>
      <c r="N18" s="104">
        <f t="shared" si="10"/>
        <v>21833685542</v>
      </c>
      <c r="O18" s="103">
        <f t="shared" si="11"/>
        <v>21762537105</v>
      </c>
      <c r="P18" s="102">
        <f t="shared" si="21"/>
        <v>99.674134552945091</v>
      </c>
      <c r="Q18" s="174">
        <f t="shared" si="22"/>
        <v>-71148437</v>
      </c>
      <c r="R18" s="176">
        <v>85080590</v>
      </c>
      <c r="S18" s="102">
        <f t="shared" si="5"/>
        <v>93.194365483361125</v>
      </c>
      <c r="T18" s="103">
        <f t="shared" si="17"/>
        <v>970355116</v>
      </c>
      <c r="U18" s="137">
        <f t="shared" ref="U18:U34" si="23">IF(K18="","",K18/T18*100)</f>
        <v>90.367413078079764</v>
      </c>
      <c r="V18" s="136">
        <f t="shared" si="12"/>
        <v>22768746431</v>
      </c>
      <c r="W18" s="138">
        <f t="shared" ref="W18:W34" si="24">IF(O18="","",O18/V18*100)</f>
        <v>95.580743414885461</v>
      </c>
      <c r="Y18" s="314" t="str">
        <f>TEXT(DATE(YEAR(영업현황!$A$2)-1,$A$1,A18),"aaa")</f>
        <v>월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수</v>
      </c>
      <c r="C19" s="431"/>
      <c r="D19" s="100" t="str">
        <f t="shared" si="8"/>
        <v/>
      </c>
      <c r="E19" s="100" t="str">
        <f t="shared" si="9"/>
        <v/>
      </c>
      <c r="F19" s="101">
        <f t="shared" si="14"/>
        <v>74301705</v>
      </c>
      <c r="G19" s="431">
        <v>78804625</v>
      </c>
      <c r="H19" s="102"/>
      <c r="I19" s="100">
        <f t="shared" si="0"/>
        <v>4502920</v>
      </c>
      <c r="J19" s="101">
        <f t="shared" si="18"/>
        <v>965922173</v>
      </c>
      <c r="K19" s="100">
        <f t="shared" si="16"/>
        <v>955689441</v>
      </c>
      <c r="L19" s="102">
        <f t="shared" si="19"/>
        <v>98.940625623261269</v>
      </c>
      <c r="M19" s="103">
        <f t="shared" si="20"/>
        <v>-10232732</v>
      </c>
      <c r="N19" s="104">
        <f t="shared" si="10"/>
        <v>21907987247</v>
      </c>
      <c r="O19" s="103">
        <f t="shared" si="11"/>
        <v>21841341730</v>
      </c>
      <c r="P19" s="102">
        <f t="shared" si="21"/>
        <v>99.695793519283129</v>
      </c>
      <c r="Q19" s="174">
        <f t="shared" si="22"/>
        <v>-66645517</v>
      </c>
      <c r="R19" s="431">
        <v>84963772</v>
      </c>
      <c r="S19" s="102">
        <f t="shared" si="5"/>
        <v>92.750855035014212</v>
      </c>
      <c r="T19" s="103">
        <f t="shared" si="17"/>
        <v>1055318888</v>
      </c>
      <c r="U19" s="137">
        <f t="shared" si="23"/>
        <v>90.559304099179556</v>
      </c>
      <c r="V19" s="136">
        <f t="shared" si="12"/>
        <v>22853710203</v>
      </c>
      <c r="W19" s="138">
        <f t="shared" si="24"/>
        <v>95.570222672784638</v>
      </c>
      <c r="Y19" s="314" t="str">
        <f>TEXT(DATE(YEAR(영업현황!$A$2)-1,$A$1,A19),"aaa")</f>
        <v>화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목</v>
      </c>
      <c r="C20" s="431"/>
      <c r="D20" s="100" t="str">
        <f t="shared" si="8"/>
        <v/>
      </c>
      <c r="E20" s="100" t="str">
        <f t="shared" si="9"/>
        <v/>
      </c>
      <c r="F20" s="101">
        <f t="shared" si="14"/>
        <v>74301705</v>
      </c>
      <c r="G20" s="431">
        <v>78337578</v>
      </c>
      <c r="H20" s="102"/>
      <c r="I20" s="100">
        <f t="shared" si="0"/>
        <v>4035873</v>
      </c>
      <c r="J20" s="101">
        <f t="shared" si="18"/>
        <v>1040223878</v>
      </c>
      <c r="K20" s="100">
        <f t="shared" si="16"/>
        <v>1034027019</v>
      </c>
      <c r="L20" s="102">
        <f t="shared" si="19"/>
        <v>99.404276412889644</v>
      </c>
      <c r="M20" s="103">
        <f t="shared" si="20"/>
        <v>-6196859</v>
      </c>
      <c r="N20" s="104">
        <f t="shared" si="10"/>
        <v>21982288952</v>
      </c>
      <c r="O20" s="103">
        <f t="shared" si="11"/>
        <v>21919679308</v>
      </c>
      <c r="P20" s="102">
        <f t="shared" si="21"/>
        <v>99.715181416563524</v>
      </c>
      <c r="Q20" s="174">
        <f t="shared" si="22"/>
        <v>-62609644</v>
      </c>
      <c r="R20" s="176">
        <v>82788035</v>
      </c>
      <c r="S20" s="102">
        <f t="shared" si="5"/>
        <v>94.624275114151459</v>
      </c>
      <c r="T20" s="103">
        <f t="shared" si="17"/>
        <v>1138106923</v>
      </c>
      <c r="U20" s="137">
        <f t="shared" si="23"/>
        <v>90.854997725024816</v>
      </c>
      <c r="V20" s="136">
        <f t="shared" si="12"/>
        <v>22936498238</v>
      </c>
      <c r="W20" s="138">
        <f t="shared" si="24"/>
        <v>95.566808326846569</v>
      </c>
      <c r="Y20" s="314" t="str">
        <f>TEXT(DATE(YEAR(영업현황!$A$2)-1,$A$1,A20),"aaa")</f>
        <v>수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금</v>
      </c>
      <c r="C21" s="431"/>
      <c r="D21" s="100" t="str">
        <f t="shared" si="8"/>
        <v/>
      </c>
      <c r="E21" s="100" t="str">
        <f t="shared" si="9"/>
        <v/>
      </c>
      <c r="F21" s="101">
        <f t="shared" si="14"/>
        <v>74301705</v>
      </c>
      <c r="G21" s="431">
        <v>75987209</v>
      </c>
      <c r="H21" s="102"/>
      <c r="I21" s="100">
        <f t="shared" si="0"/>
        <v>1685504</v>
      </c>
      <c r="J21" s="101">
        <f t="shared" si="18"/>
        <v>1114525583</v>
      </c>
      <c r="K21" s="100">
        <f t="shared" si="16"/>
        <v>1110014228</v>
      </c>
      <c r="L21" s="102">
        <f t="shared" si="19"/>
        <v>99.595221942967285</v>
      </c>
      <c r="M21" s="103">
        <f t="shared" si="20"/>
        <v>-4511355</v>
      </c>
      <c r="N21" s="104">
        <f t="shared" si="10"/>
        <v>22056590657</v>
      </c>
      <c r="O21" s="103">
        <f t="shared" si="11"/>
        <v>21995666517</v>
      </c>
      <c r="P21" s="102">
        <f t="shared" si="21"/>
        <v>99.723782605628287</v>
      </c>
      <c r="Q21" s="174">
        <f t="shared" si="22"/>
        <v>-60924140</v>
      </c>
      <c r="R21" s="431">
        <v>80348929</v>
      </c>
      <c r="S21" s="102">
        <f t="shared" si="5"/>
        <v>94.571526896145684</v>
      </c>
      <c r="T21" s="103">
        <f t="shared" si="17"/>
        <v>1218455852</v>
      </c>
      <c r="U21" s="137">
        <f t="shared" si="23"/>
        <v>91.100077707206083</v>
      </c>
      <c r="V21" s="136">
        <f t="shared" si="12"/>
        <v>23016847167</v>
      </c>
      <c r="W21" s="138">
        <f t="shared" si="24"/>
        <v>95.563333924100164</v>
      </c>
      <c r="Y21" s="314" t="str">
        <f>TEXT(DATE(YEAR(영업현황!$A$2)-1,$A$1,A21),"aaa")</f>
        <v>목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토</v>
      </c>
      <c r="C22" s="431"/>
      <c r="D22" s="100" t="str">
        <f t="shared" si="8"/>
        <v/>
      </c>
      <c r="E22" s="100" t="str">
        <f t="shared" si="9"/>
        <v/>
      </c>
      <c r="F22" s="101">
        <f t="shared" si="14"/>
        <v>74301705</v>
      </c>
      <c r="G22" s="431">
        <v>60506291</v>
      </c>
      <c r="H22" s="102"/>
      <c r="I22" s="100">
        <f t="shared" si="0"/>
        <v>-13795414</v>
      </c>
      <c r="J22" s="101">
        <f t="shared" si="18"/>
        <v>1188827288</v>
      </c>
      <c r="K22" s="100">
        <f t="shared" si="16"/>
        <v>1170520519</v>
      </c>
      <c r="L22" s="102">
        <f t="shared" si="19"/>
        <v>98.460098520214984</v>
      </c>
      <c r="M22" s="103">
        <f t="shared" si="20"/>
        <v>-18306769</v>
      </c>
      <c r="N22" s="104">
        <f t="shared" si="10"/>
        <v>22130892362</v>
      </c>
      <c r="O22" s="103">
        <f t="shared" si="11"/>
        <v>22056172808</v>
      </c>
      <c r="P22" s="102">
        <f t="shared" si="21"/>
        <v>99.662374418628062</v>
      </c>
      <c r="Q22" s="174">
        <f t="shared" si="22"/>
        <v>-74719554</v>
      </c>
      <c r="R22" s="431">
        <v>78961528</v>
      </c>
      <c r="S22" s="102">
        <f t="shared" si="5"/>
        <v>76.627558423134872</v>
      </c>
      <c r="T22" s="103">
        <f t="shared" si="17"/>
        <v>1297417380</v>
      </c>
      <c r="U22" s="137">
        <f t="shared" si="23"/>
        <v>90.219272305416482</v>
      </c>
      <c r="V22" s="136">
        <f t="shared" si="12"/>
        <v>23095808695</v>
      </c>
      <c r="W22" s="138">
        <f t="shared" si="24"/>
        <v>95.49859500167635</v>
      </c>
      <c r="Y22" s="314" t="str">
        <f>TEXT(DATE(YEAR(영업현황!$A$2)-1,$A$1,A22),"aaa")</f>
        <v>금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일</v>
      </c>
      <c r="C23" s="431"/>
      <c r="D23" s="100" t="str">
        <f t="shared" si="8"/>
        <v/>
      </c>
      <c r="E23" s="100" t="str">
        <f t="shared" si="9"/>
        <v/>
      </c>
      <c r="F23" s="101">
        <f t="shared" si="14"/>
        <v>74301705</v>
      </c>
      <c r="G23" s="431">
        <v>53316739</v>
      </c>
      <c r="H23" s="102"/>
      <c r="I23" s="100">
        <f t="shared" si="0"/>
        <v>-20984966</v>
      </c>
      <c r="J23" s="101">
        <f t="shared" si="18"/>
        <v>1263128993</v>
      </c>
      <c r="K23" s="100">
        <f t="shared" si="16"/>
        <v>1223837258</v>
      </c>
      <c r="L23" s="102">
        <f t="shared" si="19"/>
        <v>96.889333138757266</v>
      </c>
      <c r="M23" s="103">
        <f t="shared" si="20"/>
        <v>-39291735</v>
      </c>
      <c r="N23" s="104">
        <f t="shared" si="10"/>
        <v>22205194067</v>
      </c>
      <c r="O23" s="103">
        <f t="shared" si="11"/>
        <v>22109489547</v>
      </c>
      <c r="P23" s="102">
        <f t="shared" si="21"/>
        <v>99.56899939846852</v>
      </c>
      <c r="Q23" s="174">
        <f t="shared" si="22"/>
        <v>-95704520</v>
      </c>
      <c r="R23" s="431">
        <v>63066285</v>
      </c>
      <c r="S23" s="102">
        <f t="shared" si="5"/>
        <v>84.540795450374162</v>
      </c>
      <c r="T23" s="103">
        <f t="shared" si="17"/>
        <v>1360483665</v>
      </c>
      <c r="U23" s="137">
        <f t="shared" si="23"/>
        <v>89.95604206684834</v>
      </c>
      <c r="V23" s="136">
        <f t="shared" si="12"/>
        <v>23158874980</v>
      </c>
      <c r="W23" s="138">
        <f t="shared" si="24"/>
        <v>95.4687547045949</v>
      </c>
      <c r="Y23" s="314" t="str">
        <f>TEXT(DATE(YEAR(영업현황!$A$2)-1,$A$1,A23),"aaa")</f>
        <v>토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월</v>
      </c>
      <c r="C24" s="431"/>
      <c r="D24" s="100" t="str">
        <f t="shared" si="8"/>
        <v/>
      </c>
      <c r="E24" s="100" t="str">
        <f t="shared" si="9"/>
        <v/>
      </c>
      <c r="F24" s="101">
        <f t="shared" si="14"/>
        <v>74301705</v>
      </c>
      <c r="G24" s="431">
        <v>72636073</v>
      </c>
      <c r="H24" s="102"/>
      <c r="I24" s="100">
        <f t="shared" si="0"/>
        <v>-1665632</v>
      </c>
      <c r="J24" s="101">
        <f t="shared" si="18"/>
        <v>1337430698</v>
      </c>
      <c r="K24" s="100">
        <f t="shared" si="16"/>
        <v>1296473331</v>
      </c>
      <c r="L24" s="102">
        <f t="shared" si="19"/>
        <v>96.937608276731808</v>
      </c>
      <c r="M24" s="103">
        <f t="shared" si="20"/>
        <v>-40957367</v>
      </c>
      <c r="N24" s="104">
        <f t="shared" si="10"/>
        <v>22279495772</v>
      </c>
      <c r="O24" s="103">
        <f t="shared" si="11"/>
        <v>22182125620</v>
      </c>
      <c r="P24" s="102">
        <f t="shared" si="21"/>
        <v>99.562960701640421</v>
      </c>
      <c r="Q24" s="174">
        <f t="shared" si="22"/>
        <v>-97370152</v>
      </c>
      <c r="R24" s="431">
        <v>54879878</v>
      </c>
      <c r="S24" s="102">
        <f t="shared" si="5"/>
        <v>132.35465465138242</v>
      </c>
      <c r="T24" s="103">
        <f t="shared" si="17"/>
        <v>1415363543</v>
      </c>
      <c r="U24" s="137">
        <f t="shared" si="23"/>
        <v>91.600023005538162</v>
      </c>
      <c r="V24" s="136">
        <f t="shared" si="12"/>
        <v>23213754858</v>
      </c>
      <c r="W24" s="138">
        <f t="shared" si="24"/>
        <v>95.555957042234056</v>
      </c>
      <c r="Y24" s="314" t="str">
        <f>TEXT(DATE(YEAR(영업현황!$A$2)-1,$A$1,A24),"aaa")</f>
        <v>일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화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74301705</v>
      </c>
      <c r="G25" s="176">
        <v>75215499</v>
      </c>
      <c r="H25" s="102"/>
      <c r="I25" s="100">
        <f t="shared" si="0"/>
        <v>913794</v>
      </c>
      <c r="J25" s="101">
        <f t="shared" si="18"/>
        <v>1411732403</v>
      </c>
      <c r="K25" s="100">
        <f t="shared" si="16"/>
        <v>1371688830</v>
      </c>
      <c r="L25" s="102">
        <f t="shared" si="19"/>
        <v>97.163515343636973</v>
      </c>
      <c r="M25" s="103">
        <f t="shared" si="20"/>
        <v>-40043573</v>
      </c>
      <c r="N25" s="104">
        <f t="shared" si="10"/>
        <v>22353797477</v>
      </c>
      <c r="O25" s="103">
        <f t="shared" si="11"/>
        <v>22257341119</v>
      </c>
      <c r="P25" s="102">
        <f t="shared" si="21"/>
        <v>99.568501244143221</v>
      </c>
      <c r="Q25" s="174">
        <f t="shared" si="22"/>
        <v>-96456358</v>
      </c>
      <c r="R25" s="176">
        <v>75169165</v>
      </c>
      <c r="S25" s="102">
        <f t="shared" si="5"/>
        <v>100.06163963641208</v>
      </c>
      <c r="T25" s="103">
        <f t="shared" si="17"/>
        <v>1490532708</v>
      </c>
      <c r="U25" s="137">
        <f t="shared" si="23"/>
        <v>92.026751418325802</v>
      </c>
      <c r="V25" s="136">
        <f t="shared" si="12"/>
        <v>23288924023</v>
      </c>
      <c r="W25" s="138">
        <f t="shared" si="24"/>
        <v>95.570499938162811</v>
      </c>
      <c r="Y25" s="314" t="str">
        <f>TEXT(DATE(YEAR(영업현황!$A$2)-1,$A$1,A25),"aaa")</f>
        <v>월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수</v>
      </c>
      <c r="C26" s="431"/>
      <c r="D26" s="100" t="str">
        <f t="shared" si="8"/>
        <v/>
      </c>
      <c r="E26" s="100" t="str">
        <f t="shared" si="9"/>
        <v/>
      </c>
      <c r="F26" s="101">
        <f t="shared" si="14"/>
        <v>74301705</v>
      </c>
      <c r="G26" s="431">
        <v>77909089</v>
      </c>
      <c r="H26" s="102"/>
      <c r="I26" s="100">
        <f t="shared" si="0"/>
        <v>3607384</v>
      </c>
      <c r="J26" s="101">
        <f t="shared" si="18"/>
        <v>1486034108</v>
      </c>
      <c r="K26" s="100">
        <f t="shared" si="16"/>
        <v>1449597919</v>
      </c>
      <c r="L26" s="102">
        <f t="shared" si="19"/>
        <v>97.548092011896131</v>
      </c>
      <c r="M26" s="103">
        <f t="shared" si="20"/>
        <v>-36436189</v>
      </c>
      <c r="N26" s="104">
        <f t="shared" si="10"/>
        <v>22428099182</v>
      </c>
      <c r="O26" s="103">
        <f t="shared" si="11"/>
        <v>22335250208</v>
      </c>
      <c r="P26" s="102">
        <f t="shared" si="21"/>
        <v>99.586014966107712</v>
      </c>
      <c r="Q26" s="174">
        <f t="shared" si="22"/>
        <v>-92848974</v>
      </c>
      <c r="R26" s="431">
        <v>78164333</v>
      </c>
      <c r="S26" s="102">
        <f t="shared" si="5"/>
        <v>99.673452084597201</v>
      </c>
      <c r="T26" s="103">
        <f t="shared" si="17"/>
        <v>1568697041</v>
      </c>
      <c r="U26" s="137">
        <f t="shared" si="23"/>
        <v>92.407767791537509</v>
      </c>
      <c r="V26" s="136">
        <f t="shared" si="12"/>
        <v>23367088356</v>
      </c>
      <c r="W26" s="138">
        <f t="shared" si="24"/>
        <v>95.584224562855937</v>
      </c>
      <c r="Y26" s="314" t="str">
        <f>TEXT(DATE(YEAR(영업현황!$A$2)-1,$A$1,A26),"aaa")</f>
        <v>화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목</v>
      </c>
      <c r="C27" s="431"/>
      <c r="D27" s="100" t="str">
        <f t="shared" si="8"/>
        <v/>
      </c>
      <c r="E27" s="100" t="str">
        <f t="shared" si="9"/>
        <v/>
      </c>
      <c r="F27" s="101">
        <f t="shared" si="14"/>
        <v>74301705</v>
      </c>
      <c r="G27" s="431">
        <v>78305064</v>
      </c>
      <c r="H27" s="102"/>
      <c r="I27" s="100">
        <f t="shared" si="0"/>
        <v>4003359</v>
      </c>
      <c r="J27" s="101">
        <f t="shared" si="18"/>
        <v>1560335813</v>
      </c>
      <c r="K27" s="100">
        <f t="shared" si="16"/>
        <v>1527902983</v>
      </c>
      <c r="L27" s="102">
        <f t="shared" si="19"/>
        <v>97.921419880913803</v>
      </c>
      <c r="M27" s="103">
        <f t="shared" si="20"/>
        <v>-32432830</v>
      </c>
      <c r="N27" s="104">
        <f t="shared" si="10"/>
        <v>22502400887</v>
      </c>
      <c r="O27" s="103">
        <f t="shared" si="11"/>
        <v>22413555272</v>
      </c>
      <c r="P27" s="102">
        <f t="shared" si="21"/>
        <v>99.605172730473726</v>
      </c>
      <c r="Q27" s="174">
        <f t="shared" si="22"/>
        <v>-88845615</v>
      </c>
      <c r="R27" s="176">
        <v>77175731</v>
      </c>
      <c r="S27" s="102">
        <f t="shared" si="5"/>
        <v>101.46332659939429</v>
      </c>
      <c r="T27" s="103">
        <f t="shared" si="17"/>
        <v>1645872772</v>
      </c>
      <c r="U27" s="137">
        <f t="shared" si="23"/>
        <v>92.832387107501162</v>
      </c>
      <c r="V27" s="136">
        <f t="shared" si="12"/>
        <v>23444264087</v>
      </c>
      <c r="W27" s="138">
        <f t="shared" si="24"/>
        <v>95.60357786802301</v>
      </c>
      <c r="Y27" s="314" t="str">
        <f>TEXT(DATE(YEAR(영업현황!$A$2)-1,$A$1,A27),"aaa")</f>
        <v>수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금</v>
      </c>
      <c r="C28" s="431"/>
      <c r="D28" s="100" t="str">
        <f t="shared" si="8"/>
        <v/>
      </c>
      <c r="E28" s="100" t="str">
        <f t="shared" si="9"/>
        <v/>
      </c>
      <c r="F28" s="101">
        <f t="shared" si="14"/>
        <v>74301705</v>
      </c>
      <c r="G28" s="431">
        <v>75830881</v>
      </c>
      <c r="H28" s="102"/>
      <c r="I28" s="100">
        <f t="shared" si="0"/>
        <v>1529176</v>
      </c>
      <c r="J28" s="101">
        <f t="shared" si="18"/>
        <v>1634637518</v>
      </c>
      <c r="K28" s="100">
        <f t="shared" si="16"/>
        <v>1603733864</v>
      </c>
      <c r="L28" s="102">
        <f t="shared" si="19"/>
        <v>98.109449118859644</v>
      </c>
      <c r="M28" s="103">
        <f t="shared" si="20"/>
        <v>-30903654</v>
      </c>
      <c r="N28" s="104">
        <f t="shared" si="10"/>
        <v>22576702592</v>
      </c>
      <c r="O28" s="103">
        <f t="shared" si="11"/>
        <v>22489386153</v>
      </c>
      <c r="P28" s="102">
        <f t="shared" si="21"/>
        <v>99.613245385838837</v>
      </c>
      <c r="Q28" s="174">
        <f t="shared" si="22"/>
        <v>-87316439</v>
      </c>
      <c r="R28" s="431">
        <v>76811662</v>
      </c>
      <c r="S28" s="102">
        <f t="shared" si="5"/>
        <v>98.72313529682512</v>
      </c>
      <c r="T28" s="103">
        <f t="shared" si="17"/>
        <v>1722684434</v>
      </c>
      <c r="U28" s="137">
        <f t="shared" si="23"/>
        <v>93.095045868394948</v>
      </c>
      <c r="V28" s="136">
        <f t="shared" si="12"/>
        <v>23521075749</v>
      </c>
      <c r="W28" s="138">
        <f t="shared" si="24"/>
        <v>95.613765258828082</v>
      </c>
      <c r="Y28" s="314" t="str">
        <f>TEXT(DATE(YEAR(영업현황!$A$2)-1,$A$1,A28),"aaa")</f>
        <v>목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토</v>
      </c>
      <c r="C29" s="431"/>
      <c r="D29" s="100" t="str">
        <f t="shared" si="8"/>
        <v/>
      </c>
      <c r="E29" s="100" t="str">
        <f t="shared" si="9"/>
        <v/>
      </c>
      <c r="F29" s="101">
        <f t="shared" si="14"/>
        <v>74301705</v>
      </c>
      <c r="G29" s="431">
        <v>62436870</v>
      </c>
      <c r="H29" s="102"/>
      <c r="I29" s="100">
        <f t="shared" si="0"/>
        <v>-11864835</v>
      </c>
      <c r="J29" s="101">
        <f t="shared" si="18"/>
        <v>1708939223</v>
      </c>
      <c r="K29" s="100">
        <f t="shared" si="16"/>
        <v>1666170734</v>
      </c>
      <c r="L29" s="102">
        <f t="shared" si="19"/>
        <v>97.497366294576523</v>
      </c>
      <c r="M29" s="103">
        <f t="shared" si="20"/>
        <v>-42768489</v>
      </c>
      <c r="N29" s="104">
        <f t="shared" si="10"/>
        <v>22651004297</v>
      </c>
      <c r="O29" s="103">
        <f t="shared" si="11"/>
        <v>22551823023</v>
      </c>
      <c r="P29" s="102">
        <f t="shared" si="21"/>
        <v>99.562132995519605</v>
      </c>
      <c r="Q29" s="174">
        <f t="shared" si="22"/>
        <v>-99181274</v>
      </c>
      <c r="R29" s="431">
        <v>75034521</v>
      </c>
      <c r="S29" s="102">
        <f t="shared" si="5"/>
        <v>83.210859705494755</v>
      </c>
      <c r="T29" s="103">
        <f t="shared" si="17"/>
        <v>1797718955</v>
      </c>
      <c r="U29" s="137">
        <f t="shared" si="23"/>
        <v>92.682492408831507</v>
      </c>
      <c r="V29" s="136">
        <f t="shared" si="12"/>
        <v>23596110270</v>
      </c>
      <c r="W29" s="138">
        <f t="shared" si="24"/>
        <v>95.574324602442189</v>
      </c>
      <c r="Y29" s="314" t="str">
        <f>TEXT(DATE(YEAR(영업현황!$A$2)-1,$A$1,A29),"aaa")</f>
        <v>금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일</v>
      </c>
      <c r="C30" s="431"/>
      <c r="D30" s="100" t="str">
        <f t="shared" si="8"/>
        <v/>
      </c>
      <c r="E30" s="100" t="str">
        <f t="shared" si="9"/>
        <v/>
      </c>
      <c r="F30" s="101">
        <f t="shared" si="14"/>
        <v>74301705</v>
      </c>
      <c r="G30" s="431">
        <v>53343258</v>
      </c>
      <c r="H30" s="102"/>
      <c r="I30" s="100">
        <f t="shared" si="0"/>
        <v>-20958447</v>
      </c>
      <c r="J30" s="101">
        <f t="shared" si="18"/>
        <v>1783240928</v>
      </c>
      <c r="K30" s="100">
        <f t="shared" si="16"/>
        <v>1719513992</v>
      </c>
      <c r="L30" s="102">
        <f t="shared" si="19"/>
        <v>96.426341780329523</v>
      </c>
      <c r="M30" s="103">
        <f t="shared" si="20"/>
        <v>-63726936</v>
      </c>
      <c r="N30" s="104">
        <f t="shared" si="10"/>
        <v>22725306002</v>
      </c>
      <c r="O30" s="103">
        <f t="shared" si="11"/>
        <v>22605166281</v>
      </c>
      <c r="P30" s="102">
        <f t="shared" si="21"/>
        <v>99.47133947947971</v>
      </c>
      <c r="Q30" s="174">
        <f t="shared" si="22"/>
        <v>-120139721</v>
      </c>
      <c r="R30" s="431">
        <v>68375407</v>
      </c>
      <c r="S30" s="102">
        <f t="shared" si="5"/>
        <v>78.015269437445539</v>
      </c>
      <c r="T30" s="103">
        <f t="shared" si="17"/>
        <v>1866094362</v>
      </c>
      <c r="U30" s="137">
        <f t="shared" si="23"/>
        <v>92.145071922145377</v>
      </c>
      <c r="V30" s="136">
        <f t="shared" si="12"/>
        <v>23664485677</v>
      </c>
      <c r="W30" s="138">
        <f t="shared" si="24"/>
        <v>95.523590030821694</v>
      </c>
      <c r="Y30" s="314" t="str">
        <f>TEXT(DATE(YEAR(영업현황!$A$2)-1,$A$1,A30),"aaa")</f>
        <v>토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월</v>
      </c>
      <c r="C31" s="431"/>
      <c r="D31" s="100" t="str">
        <f t="shared" si="8"/>
        <v/>
      </c>
      <c r="E31" s="100" t="str">
        <f t="shared" si="9"/>
        <v/>
      </c>
      <c r="F31" s="101">
        <f t="shared" si="14"/>
        <v>74301705</v>
      </c>
      <c r="G31" s="431">
        <v>58848814</v>
      </c>
      <c r="H31" s="102"/>
      <c r="I31" s="100">
        <f t="shared" si="0"/>
        <v>-15452891</v>
      </c>
      <c r="J31" s="101">
        <f t="shared" si="18"/>
        <v>1857542633</v>
      </c>
      <c r="K31" s="100">
        <f t="shared" si="16"/>
        <v>1778362806</v>
      </c>
      <c r="L31" s="102">
        <f t="shared" si="19"/>
        <v>95.737388440333035</v>
      </c>
      <c r="M31" s="103">
        <f t="shared" si="20"/>
        <v>-79179827</v>
      </c>
      <c r="N31" s="104">
        <f t="shared" si="10"/>
        <v>22799607707</v>
      </c>
      <c r="O31" s="103">
        <f t="shared" si="11"/>
        <v>22664015095</v>
      </c>
      <c r="P31" s="102">
        <f t="shared" si="21"/>
        <v>99.405285328841998</v>
      </c>
      <c r="Q31" s="174">
        <f t="shared" si="22"/>
        <v>-135592612</v>
      </c>
      <c r="R31" s="431">
        <v>58468334</v>
      </c>
      <c r="S31" s="102">
        <f t="shared" si="5"/>
        <v>100.65074541032759</v>
      </c>
      <c r="T31" s="103">
        <f t="shared" si="17"/>
        <v>1924562696</v>
      </c>
      <c r="U31" s="137">
        <f t="shared" si="23"/>
        <v>92.403474809947156</v>
      </c>
      <c r="V31" s="136">
        <f t="shared" si="12"/>
        <v>23722954011</v>
      </c>
      <c r="W31" s="138">
        <f t="shared" si="24"/>
        <v>95.536226578237333</v>
      </c>
      <c r="Y31" s="314" t="str">
        <f>TEXT(DATE(YEAR(영업현황!$A$2)-1,$A$1,A31),"aaa")</f>
        <v>일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화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74301705</v>
      </c>
      <c r="G32" s="176">
        <v>74533624</v>
      </c>
      <c r="H32" s="102"/>
      <c r="I32" s="100">
        <f t="shared" si="0"/>
        <v>231919</v>
      </c>
      <c r="J32" s="101">
        <f t="shared" si="18"/>
        <v>1931844338</v>
      </c>
      <c r="K32" s="100">
        <f t="shared" si="16"/>
        <v>1852896430</v>
      </c>
      <c r="L32" s="102">
        <f t="shared" si="19"/>
        <v>95.913340094381866</v>
      </c>
      <c r="M32" s="103">
        <f t="shared" si="20"/>
        <v>-78947908</v>
      </c>
      <c r="N32" s="104">
        <f t="shared" si="10"/>
        <v>22873909412</v>
      </c>
      <c r="O32" s="103">
        <f t="shared" si="11"/>
        <v>22738548719</v>
      </c>
      <c r="P32" s="102">
        <f t="shared" si="21"/>
        <v>99.408231052410358</v>
      </c>
      <c r="Q32" s="174">
        <f t="shared" si="22"/>
        <v>-135360693</v>
      </c>
      <c r="R32" s="176">
        <v>74578280</v>
      </c>
      <c r="S32" s="102">
        <f t="shared" si="5"/>
        <v>99.940121976532581</v>
      </c>
      <c r="T32" s="103">
        <f t="shared" si="17"/>
        <v>1999140976</v>
      </c>
      <c r="U32" s="137">
        <f t="shared" si="23"/>
        <v>92.684630661084498</v>
      </c>
      <c r="V32" s="136">
        <f t="shared" si="12"/>
        <v>23797532291</v>
      </c>
      <c r="W32" s="138">
        <f t="shared" si="24"/>
        <v>95.550027796787589</v>
      </c>
      <c r="Y32" s="314" t="str">
        <f>TEXT(DATE(YEAR(영업현황!$A$2)-1,$A$1,A32),"aaa")</f>
        <v>월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수</v>
      </c>
      <c r="C33" s="431"/>
      <c r="D33" s="100" t="str">
        <f t="shared" si="8"/>
        <v/>
      </c>
      <c r="E33" s="100" t="str">
        <f t="shared" si="9"/>
        <v/>
      </c>
      <c r="F33" s="101">
        <f t="shared" si="14"/>
        <v>74301705</v>
      </c>
      <c r="G33" s="431">
        <v>76359283</v>
      </c>
      <c r="H33" s="102"/>
      <c r="I33" s="100">
        <f t="shared" si="0"/>
        <v>2057578</v>
      </c>
      <c r="J33" s="101">
        <f t="shared" si="18"/>
        <v>2006146043</v>
      </c>
      <c r="K33" s="100">
        <f t="shared" si="16"/>
        <v>1929255713</v>
      </c>
      <c r="L33" s="102">
        <f t="shared" si="19"/>
        <v>96.167261587545354</v>
      </c>
      <c r="M33" s="103">
        <f t="shared" si="20"/>
        <v>-76890330</v>
      </c>
      <c r="N33" s="104">
        <f t="shared" si="10"/>
        <v>22948211117</v>
      </c>
      <c r="O33" s="103">
        <f t="shared" si="11"/>
        <v>22814908002</v>
      </c>
      <c r="P33" s="102">
        <f t="shared" si="21"/>
        <v>99.419113261942897</v>
      </c>
      <c r="Q33" s="174">
        <f t="shared" si="22"/>
        <v>-133303115</v>
      </c>
      <c r="R33" s="431">
        <v>77547459</v>
      </c>
      <c r="S33" s="102">
        <f t="shared" si="5"/>
        <v>98.467807952288936</v>
      </c>
      <c r="T33" s="103">
        <f t="shared" si="17"/>
        <v>2076688435</v>
      </c>
      <c r="U33" s="137">
        <f t="shared" si="23"/>
        <v>92.900585397635723</v>
      </c>
      <c r="V33" s="136">
        <f t="shared" si="12"/>
        <v>23875079750</v>
      </c>
      <c r="W33" s="138">
        <f t="shared" si="24"/>
        <v>95.559504893381558</v>
      </c>
      <c r="Y33" s="314" t="str">
        <f>TEXT(DATE(YEAR(영업현황!$A$2)-1,$A$1,A33),"aaa")</f>
        <v>화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목</v>
      </c>
      <c r="C34" s="431"/>
      <c r="D34" s="100" t="str">
        <f t="shared" si="8"/>
        <v/>
      </c>
      <c r="E34" s="100" t="str">
        <f t="shared" si="9"/>
        <v/>
      </c>
      <c r="F34" s="101">
        <f t="shared" si="14"/>
        <v>74301705</v>
      </c>
      <c r="G34" s="431">
        <v>77196888</v>
      </c>
      <c r="H34" s="102"/>
      <c r="I34" s="100">
        <f t="shared" si="0"/>
        <v>2895183</v>
      </c>
      <c r="J34" s="101">
        <f t="shared" si="18"/>
        <v>2080447748</v>
      </c>
      <c r="K34" s="100">
        <f t="shared" si="16"/>
        <v>2006452601</v>
      </c>
      <c r="L34" s="102">
        <f t="shared" si="19"/>
        <v>96.443306635740612</v>
      </c>
      <c r="M34" s="103">
        <f t="shared" si="20"/>
        <v>-73995147</v>
      </c>
      <c r="N34" s="104">
        <f t="shared" si="10"/>
        <v>23022512822</v>
      </c>
      <c r="O34" s="103">
        <f t="shared" si="11"/>
        <v>22892104890</v>
      </c>
      <c r="P34" s="102">
        <f t="shared" si="21"/>
        <v>99.433563429812139</v>
      </c>
      <c r="Q34" s="174">
        <f t="shared" si="22"/>
        <v>-130407932</v>
      </c>
      <c r="R34" s="176">
        <v>79331852</v>
      </c>
      <c r="S34" s="102">
        <f t="shared" si="5"/>
        <v>97.308818657101313</v>
      </c>
      <c r="T34" s="103">
        <f t="shared" si="17"/>
        <v>2156020287</v>
      </c>
      <c r="U34" s="137">
        <f t="shared" si="23"/>
        <v>93.062788559929714</v>
      </c>
      <c r="V34" s="136">
        <f t="shared" si="12"/>
        <v>23954411602</v>
      </c>
      <c r="W34" s="138">
        <f t="shared" si="24"/>
        <v>95.565298243805302</v>
      </c>
      <c r="Y34" s="314" t="str">
        <f>TEXT(DATE(YEAR(영업현황!$A$2)-1,$A$1,A34),"aaa")</f>
        <v>수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금</v>
      </c>
      <c r="C35" s="431"/>
      <c r="D35" s="100" t="str">
        <f t="shared" si="8"/>
        <v/>
      </c>
      <c r="E35" s="100" t="str">
        <f t="shared" si="9"/>
        <v/>
      </c>
      <c r="F35" s="101">
        <f t="shared" si="14"/>
        <v>74301705</v>
      </c>
      <c r="G35" s="431">
        <v>73265187</v>
      </c>
      <c r="H35" s="102"/>
      <c r="I35" s="100">
        <f t="shared" si="0"/>
        <v>-1036518</v>
      </c>
      <c r="J35" s="101">
        <f t="shared" si="18"/>
        <v>2154749453</v>
      </c>
      <c r="K35" s="100">
        <f t="shared" si="16"/>
        <v>2079717788</v>
      </c>
      <c r="L35" s="102">
        <f t="shared" si="19"/>
        <v>96.51784735828403</v>
      </c>
      <c r="M35" s="103">
        <f t="shared" si="20"/>
        <v>-75031665</v>
      </c>
      <c r="N35" s="104">
        <f t="shared" si="10"/>
        <v>23096814527</v>
      </c>
      <c r="O35" s="103">
        <f t="shared" si="11"/>
        <v>22965370077</v>
      </c>
      <c r="P35" s="102">
        <f t="shared" si="21"/>
        <v>99.430897928169529</v>
      </c>
      <c r="Q35" s="174">
        <f t="shared" si="22"/>
        <v>-131444450</v>
      </c>
      <c r="R35" s="431">
        <v>77132106</v>
      </c>
      <c r="S35" s="102">
        <f t="shared" ref="S35:S37" si="25">IF(G35=0,"",G35/R35*100)</f>
        <v>94.986628525351037</v>
      </c>
      <c r="T35" s="103">
        <f t="shared" ref="T35:T37" si="26">T34+R35</f>
        <v>2233152393</v>
      </c>
      <c r="U35" s="137">
        <f t="shared" ref="U35:U37" si="27">IF(K35="","",K35/T35*100)</f>
        <v>93.129237150095378</v>
      </c>
      <c r="V35" s="136">
        <f t="shared" ref="V35:V37" si="28">V34+R35</f>
        <v>24031543708</v>
      </c>
      <c r="W35" s="138">
        <f t="shared" ref="W35:W37" si="29">IF(O35="","",O35/V35*100)</f>
        <v>95.563440934320525</v>
      </c>
      <c r="Y35" s="314" t="str">
        <f>TEXT(DATE(YEAR(영업현황!$A$2)-1,$A$1,A35),"aaa")</f>
        <v>목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토</v>
      </c>
      <c r="C36" s="431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74301705</v>
      </c>
      <c r="G36" s="431">
        <v>56581914</v>
      </c>
      <c r="H36" s="102"/>
      <c r="I36" s="100">
        <f t="shared" ref="I36" si="32">IF(G36="","",G36-F36)</f>
        <v>-17719791</v>
      </c>
      <c r="J36" s="101">
        <f t="shared" si="18"/>
        <v>2229051158</v>
      </c>
      <c r="K36" s="100">
        <f t="shared" ref="K36" si="33">IF(G36="","",K35+G36)</f>
        <v>2136299702</v>
      </c>
      <c r="L36" s="102">
        <f t="shared" ref="L36" si="34">IF(K36="","",K36/J36*100)</f>
        <v>95.838971408658892</v>
      </c>
      <c r="M36" s="103">
        <f t="shared" ref="M36" si="35">IF(K36="","",K36-J36)</f>
        <v>-92751456</v>
      </c>
      <c r="N36" s="104">
        <f t="shared" si="10"/>
        <v>23171116232</v>
      </c>
      <c r="O36" s="103">
        <f t="shared" ref="O36" si="36">IF(G36="","",O35+G36)</f>
        <v>23021951991</v>
      </c>
      <c r="P36" s="102">
        <f t="shared" ref="P36" si="37">IF(O36="","",O36/N36*100)</f>
        <v>99.356249222063809</v>
      </c>
      <c r="Q36" s="174">
        <f t="shared" ref="Q36" si="38">IF(O36="","",O36-N36)</f>
        <v>-149164241</v>
      </c>
      <c r="R36" s="431">
        <v>75268317</v>
      </c>
      <c r="S36" s="102">
        <f t="shared" si="25"/>
        <v>75.173613885906335</v>
      </c>
      <c r="T36" s="103">
        <f t="shared" si="26"/>
        <v>2308420710</v>
      </c>
      <c r="U36" s="137">
        <f t="shared" si="27"/>
        <v>92.543776476515831</v>
      </c>
      <c r="V36" s="136">
        <f t="shared" si="28"/>
        <v>24106812025</v>
      </c>
      <c r="W36" s="138">
        <f t="shared" si="29"/>
        <v>95.499778100584408</v>
      </c>
      <c r="Y36" s="314" t="str">
        <f>TEXT(DATE(YEAR(영업현황!$A$2)-1,$A$1,A36),"aaa")</f>
        <v>금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일</v>
      </c>
      <c r="C37" s="432"/>
      <c r="D37" s="100"/>
      <c r="E37" s="100"/>
      <c r="F37" s="101">
        <f t="shared" si="14"/>
        <v>74301705</v>
      </c>
      <c r="G37" s="434">
        <v>50245264</v>
      </c>
      <c r="H37" s="102"/>
      <c r="I37" s="100">
        <f t="shared" ref="I37" si="39">IF(G37="","",G37-F37)</f>
        <v>-24056441</v>
      </c>
      <c r="J37" s="101">
        <f t="shared" ref="J37" si="40">IF(F37="","",J36+F37)</f>
        <v>2303352863</v>
      </c>
      <c r="K37" s="100">
        <f t="shared" ref="K37" si="41">IF(G37="","",K36+G37)</f>
        <v>2186544966</v>
      </c>
      <c r="L37" s="102">
        <f t="shared" ref="L37" si="42">IF(K37="","",K37/J37*100)</f>
        <v>94.928788425067296</v>
      </c>
      <c r="M37" s="103">
        <f t="shared" ref="M37" si="43">IF(K37="","",K37-J37)</f>
        <v>-116807897</v>
      </c>
      <c r="N37" s="104">
        <f t="shared" ref="N37" si="44">IF(F37="","",N36+F37)</f>
        <v>23245417937</v>
      </c>
      <c r="O37" s="103">
        <f t="shared" ref="O37" si="45">IF(G37="","",O36+G37)</f>
        <v>23072197255</v>
      </c>
      <c r="P37" s="102">
        <f t="shared" ref="P37" si="46">IF(O37="","",O37/N37*100)</f>
        <v>99.254817949630052</v>
      </c>
      <c r="Q37" s="174">
        <f t="shared" ref="Q37" si="47">IF(O37="","",O37-N37)</f>
        <v>-173220682</v>
      </c>
      <c r="R37" s="431">
        <v>59423662</v>
      </c>
      <c r="S37" s="102">
        <f t="shared" si="25"/>
        <v>84.554304310629661</v>
      </c>
      <c r="T37" s="103">
        <f t="shared" si="26"/>
        <v>2367844372</v>
      </c>
      <c r="U37" s="137">
        <f t="shared" si="27"/>
        <v>92.343271874457471</v>
      </c>
      <c r="V37" s="136">
        <f t="shared" si="28"/>
        <v>24166235687</v>
      </c>
      <c r="W37" s="138">
        <f t="shared" si="29"/>
        <v>95.472863683984812</v>
      </c>
      <c r="Y37" s="314" t="str">
        <f>TEXT(DATE(YEAR(영업현황!$A$2)-1,$A$1,A37),"aaa")</f>
        <v>토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9">
        <f>SUM(G7:G37)</f>
        <v>2186544966</v>
      </c>
      <c r="H41" s="238"/>
      <c r="I41" s="238"/>
      <c r="J41" s="238"/>
      <c r="K41" s="238"/>
      <c r="L41" s="238"/>
      <c r="M41" s="238"/>
      <c r="N41" s="239">
        <v>23245417937</v>
      </c>
      <c r="O41" s="238"/>
      <c r="P41" s="238"/>
      <c r="Q41" s="238"/>
      <c r="R41" s="236">
        <f>ROUND(SUM(R7:R37),0)</f>
        <v>2367844372</v>
      </c>
      <c r="Z41" s="233"/>
    </row>
    <row r="42" spans="1:26" s="149" customFormat="1" ht="25.5" customHeight="1" x14ac:dyDescent="0.15">
      <c r="B42" s="149" t="s">
        <v>69</v>
      </c>
      <c r="C42" s="433"/>
      <c r="D42" s="238"/>
      <c r="E42" s="238"/>
      <c r="F42" s="238"/>
      <c r="G42" s="433">
        <v>2186544966</v>
      </c>
      <c r="H42" s="238"/>
      <c r="I42" s="238">
        <f>SUM(G7:G37)</f>
        <v>2186544966</v>
      </c>
      <c r="J42" s="238"/>
      <c r="K42" s="238"/>
      <c r="L42" s="238"/>
      <c r="M42" s="238"/>
      <c r="N42" s="435">
        <v>23245417937</v>
      </c>
      <c r="O42" s="238"/>
      <c r="P42" s="238"/>
      <c r="Q42" s="238"/>
      <c r="R42" s="435">
        <v>2367844372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1" t="b">
        <f>EXACT(ROUND(N41,-3),ROUND(N42,-3))</f>
        <v>1</v>
      </c>
      <c r="O43" s="532"/>
      <c r="P43" s="532"/>
      <c r="Q43" s="532"/>
      <c r="R43" s="531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5</v>
      </c>
      <c r="G45" s="242">
        <f>C45</f>
        <v>5</v>
      </c>
      <c r="N45" s="242">
        <f>C45</f>
        <v>5</v>
      </c>
      <c r="R45" s="242">
        <f>C45</f>
        <v>5</v>
      </c>
      <c r="Z45" s="233"/>
    </row>
    <row r="46" spans="1:26" ht="16.5" x14ac:dyDescent="0.15">
      <c r="C46" s="194"/>
      <c r="G46" s="195"/>
    </row>
    <row r="47" spans="1:26" x14ac:dyDescent="0.15">
      <c r="C47" s="497">
        <f>C41-C42</f>
        <v>0</v>
      </c>
      <c r="G47" s="497">
        <f>G41-G42</f>
        <v>0</v>
      </c>
      <c r="N47" s="497"/>
      <c r="R47" s="469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1"/>
  <sheetViews>
    <sheetView workbookViewId="0">
      <selection activeCell="C45" sqref="C45"/>
    </sheetView>
  </sheetViews>
  <sheetFormatPr defaultColWidth="9" defaultRowHeight="21" customHeight="1" x14ac:dyDescent="0.15"/>
  <cols>
    <col min="1" max="1" width="26.125" style="504" bestFit="1" customWidth="1"/>
    <col min="2" max="2" width="32.75" style="504" customWidth="1"/>
    <col min="3" max="3" width="36.875" style="504" customWidth="1"/>
    <col min="4" max="4" width="17.375" style="504" bestFit="1" customWidth="1"/>
    <col min="5" max="5" width="19.75" style="504" bestFit="1" customWidth="1"/>
    <col min="6" max="6" width="23.375" style="702" bestFit="1" customWidth="1"/>
    <col min="7" max="7" width="42.75" style="504" bestFit="1" customWidth="1"/>
    <col min="8" max="8" width="39.875" style="504" customWidth="1"/>
    <col min="9" max="9" width="31.875" style="504" bestFit="1" customWidth="1"/>
    <col min="10" max="10" width="14.25" style="504" customWidth="1"/>
    <col min="11" max="18" width="11.625" style="504" customWidth="1"/>
    <col min="19" max="16384" width="9" style="504"/>
  </cols>
  <sheetData>
    <row r="1" spans="1:14" ht="21" customHeight="1" x14ac:dyDescent="0.15">
      <c r="A1" s="727" t="s">
        <v>353</v>
      </c>
      <c r="B1" s="727"/>
      <c r="C1" s="727"/>
      <c r="D1" s="727"/>
      <c r="E1" s="727"/>
      <c r="F1" s="727"/>
      <c r="H1" s="569" t="s">
        <v>381</v>
      </c>
    </row>
    <row r="2" spans="1:14" s="505" customFormat="1" ht="21" customHeight="1" thickBot="1" x14ac:dyDescent="0.2">
      <c r="A2" s="286"/>
      <c r="B2" s="731" t="s">
        <v>355</v>
      </c>
      <c r="C2" s="732"/>
      <c r="D2" s="732"/>
      <c r="E2" s="733"/>
      <c r="F2" s="733"/>
      <c r="G2" s="730"/>
    </row>
    <row r="3" spans="1:14" s="505" customFormat="1" ht="21" customHeight="1" thickBot="1" x14ac:dyDescent="0.2">
      <c r="A3" s="558" t="s">
        <v>354</v>
      </c>
      <c r="B3" s="515" t="s">
        <v>356</v>
      </c>
      <c r="C3" s="517" t="s">
        <v>206</v>
      </c>
      <c r="D3" s="518" t="s">
        <v>361</v>
      </c>
      <c r="E3" s="516" t="s">
        <v>357</v>
      </c>
      <c r="F3" s="509" t="s">
        <v>358</v>
      </c>
      <c r="G3" s="730"/>
    </row>
    <row r="4" spans="1:14" s="505" customFormat="1" ht="21" customHeight="1" thickTop="1" x14ac:dyDescent="0.15">
      <c r="A4" s="561" t="s">
        <v>359</v>
      </c>
      <c r="B4" s="522">
        <f>SUM(B5:B6,B8:B11)</f>
        <v>1801</v>
      </c>
      <c r="C4" s="523">
        <f>영업일보!E8</f>
        <v>2030</v>
      </c>
      <c r="D4" s="519">
        <f t="shared" ref="D4:D11" si="0">C4-B4</f>
        <v>229</v>
      </c>
      <c r="E4" s="524">
        <f>SUM(E5:E6,E8:E11)</f>
        <v>50</v>
      </c>
      <c r="F4" s="699">
        <f>SUM(F5:F6,F8:F11)</f>
        <v>0</v>
      </c>
      <c r="G4" s="540"/>
    </row>
    <row r="5" spans="1:14" s="505" customFormat="1" ht="21" customHeight="1" x14ac:dyDescent="0.15">
      <c r="A5" s="557" t="s">
        <v>81</v>
      </c>
      <c r="B5" s="525">
        <f>영업일보!D9</f>
        <v>1610</v>
      </c>
      <c r="C5" s="526">
        <f>영업일보!E9</f>
        <v>1979</v>
      </c>
      <c r="D5" s="520">
        <f t="shared" si="0"/>
        <v>369</v>
      </c>
      <c r="E5" s="527">
        <f>영업일보!F9</f>
        <v>9</v>
      </c>
      <c r="F5" s="700">
        <f>영업일보!G9</f>
        <v>4</v>
      </c>
      <c r="G5" s="541"/>
      <c r="I5" s="545"/>
      <c r="J5" s="545"/>
      <c r="K5" s="545"/>
      <c r="L5" s="546"/>
      <c r="M5" s="546"/>
      <c r="N5" s="547"/>
    </row>
    <row r="6" spans="1:14" s="505" customFormat="1" ht="21" customHeight="1" x14ac:dyDescent="0.15">
      <c r="A6" s="557" t="s">
        <v>82</v>
      </c>
      <c r="B6" s="525">
        <f>영업일보!D10</f>
        <v>115</v>
      </c>
      <c r="C6" s="526">
        <f>영업일보!E10</f>
        <v>-5</v>
      </c>
      <c r="D6" s="520">
        <f t="shared" si="0"/>
        <v>-120</v>
      </c>
      <c r="E6" s="527">
        <f>영업일보!F10</f>
        <v>16</v>
      </c>
      <c r="F6" s="700">
        <f>영업일보!G10</f>
        <v>-20</v>
      </c>
      <c r="G6" s="542"/>
      <c r="I6" s="545"/>
      <c r="J6" s="545"/>
      <c r="K6" s="545"/>
      <c r="L6" s="546"/>
      <c r="M6" s="546"/>
      <c r="N6" s="547"/>
    </row>
    <row r="7" spans="1:14" s="505" customFormat="1" ht="21" customHeight="1" x14ac:dyDescent="0.15">
      <c r="A7" s="559" t="s">
        <v>360</v>
      </c>
      <c r="B7" s="528">
        <f t="shared" ref="B7:C7" si="1">SUM(B5:B6)</f>
        <v>1725</v>
      </c>
      <c r="C7" s="538">
        <f t="shared" si="1"/>
        <v>1974</v>
      </c>
      <c r="D7" s="539">
        <f t="shared" si="0"/>
        <v>249</v>
      </c>
      <c r="E7" s="529">
        <f t="shared" ref="E7" si="2">SUM(E5:E6)</f>
        <v>25</v>
      </c>
      <c r="F7" s="701">
        <f t="shared" ref="F7" si="3">SUM(F5:F6)</f>
        <v>-16</v>
      </c>
      <c r="G7" s="542"/>
      <c r="I7" s="545"/>
      <c r="J7" s="545"/>
      <c r="K7" s="545"/>
      <c r="L7" s="546"/>
      <c r="M7" s="546"/>
      <c r="N7" s="547"/>
    </row>
    <row r="8" spans="1:14" s="505" customFormat="1" ht="21" customHeight="1" x14ac:dyDescent="0.15">
      <c r="A8" s="557" t="s">
        <v>444</v>
      </c>
      <c r="B8" s="525">
        <f>영업일보!D11</f>
        <v>56</v>
      </c>
      <c r="C8" s="526">
        <f>영업일보!E11</f>
        <v>45</v>
      </c>
      <c r="D8" s="520">
        <f t="shared" si="0"/>
        <v>-11</v>
      </c>
      <c r="E8" s="527">
        <f>영업일보!F11</f>
        <v>13</v>
      </c>
      <c r="F8" s="700">
        <f>영업일보!G11</f>
        <v>16</v>
      </c>
      <c r="G8" s="542"/>
      <c r="I8" s="545"/>
      <c r="J8" s="545"/>
      <c r="K8" s="545"/>
      <c r="L8" s="546"/>
      <c r="M8" s="546"/>
      <c r="N8" s="547"/>
    </row>
    <row r="9" spans="1:14" s="505" customFormat="1" ht="21" customHeight="1" x14ac:dyDescent="0.15">
      <c r="A9" s="557" t="s">
        <v>52</v>
      </c>
      <c r="B9" s="525">
        <f>영업일보!D12</f>
        <v>19</v>
      </c>
      <c r="C9" s="526">
        <f>영업일보!E12</f>
        <v>8</v>
      </c>
      <c r="D9" s="520">
        <f t="shared" si="0"/>
        <v>-11</v>
      </c>
      <c r="E9" s="527">
        <f>영업일보!F12</f>
        <v>12</v>
      </c>
      <c r="F9" s="700">
        <f>영업일보!G12</f>
        <v>-1</v>
      </c>
      <c r="G9" s="542"/>
      <c r="I9" s="545"/>
      <c r="J9" s="545"/>
      <c r="K9" s="545"/>
      <c r="L9" s="546"/>
      <c r="M9" s="546"/>
      <c r="N9" s="547"/>
    </row>
    <row r="10" spans="1:14" s="505" customFormat="1" ht="21" customHeight="1" x14ac:dyDescent="0.15">
      <c r="A10" s="560" t="s">
        <v>53</v>
      </c>
      <c r="B10" s="525">
        <f>영업일보!D13</f>
        <v>1</v>
      </c>
      <c r="C10" s="526">
        <f>영업일보!E13</f>
        <v>3</v>
      </c>
      <c r="D10" s="520">
        <f t="shared" si="0"/>
        <v>2</v>
      </c>
      <c r="E10" s="527">
        <f>영업일보!F13</f>
        <v>0</v>
      </c>
      <c r="F10" s="700">
        <f>영업일보!G13</f>
        <v>1</v>
      </c>
      <c r="G10" s="542"/>
      <c r="I10" s="545"/>
      <c r="J10" s="545"/>
      <c r="K10" s="545"/>
      <c r="L10" s="546"/>
      <c r="M10" s="546"/>
      <c r="N10" s="547"/>
    </row>
    <row r="11" spans="1:14" s="505" customFormat="1" ht="21" customHeight="1" thickBot="1" x14ac:dyDescent="0.2">
      <c r="A11" s="557" t="s">
        <v>54</v>
      </c>
      <c r="B11" s="525">
        <f>영업일보!D14</f>
        <v>0</v>
      </c>
      <c r="C11" s="530">
        <f>영업일보!E14</f>
        <v>0</v>
      </c>
      <c r="D11" s="521">
        <f t="shared" si="0"/>
        <v>0</v>
      </c>
      <c r="E11" s="527">
        <f>영업일보!F14</f>
        <v>0</v>
      </c>
      <c r="F11" s="700">
        <f>영업일보!G14</f>
        <v>0</v>
      </c>
      <c r="G11" s="542"/>
      <c r="I11" s="545"/>
      <c r="J11" s="545"/>
      <c r="K11" s="545"/>
      <c r="L11" s="546"/>
      <c r="M11" s="546"/>
      <c r="N11" s="547"/>
    </row>
    <row r="12" spans="1:14" ht="21" customHeight="1" x14ac:dyDescent="0.15">
      <c r="A12" s="674"/>
    </row>
    <row r="13" spans="1:14" s="505" customFormat="1" ht="21" customHeight="1" x14ac:dyDescent="0.15">
      <c r="A13" s="727" t="s">
        <v>373</v>
      </c>
      <c r="B13" s="727"/>
      <c r="C13" s="727"/>
      <c r="D13" s="727"/>
      <c r="E13" s="727"/>
      <c r="F13" s="727"/>
      <c r="G13" s="286"/>
    </row>
    <row r="14" spans="1:14" s="505" customFormat="1" ht="21" customHeight="1" x14ac:dyDescent="0.15">
      <c r="A14" s="675" t="s">
        <v>369</v>
      </c>
      <c r="B14" s="676" t="s">
        <v>368</v>
      </c>
      <c r="C14" s="677" t="s">
        <v>370</v>
      </c>
      <c r="D14" s="678" t="s">
        <v>379</v>
      </c>
      <c r="E14" s="678" t="s">
        <v>380</v>
      </c>
      <c r="F14" s="703"/>
      <c r="G14" s="698"/>
    </row>
    <row r="15" spans="1:14" s="505" customFormat="1" ht="21" customHeight="1" x14ac:dyDescent="0.15">
      <c r="A15" s="679"/>
      <c r="B15" s="548"/>
      <c r="C15" s="536"/>
      <c r="D15" s="536"/>
      <c r="E15" s="536"/>
      <c r="F15" s="704"/>
      <c r="G15" s="533"/>
    </row>
    <row r="16" spans="1:14" s="505" customFormat="1" ht="21" customHeight="1" x14ac:dyDescent="0.15">
      <c r="A16" s="514"/>
      <c r="B16" s="502"/>
      <c r="C16" s="499"/>
      <c r="D16" s="500"/>
      <c r="E16" s="535"/>
      <c r="F16" s="705"/>
      <c r="G16" s="533"/>
    </row>
    <row r="17" spans="1:13" s="505" customFormat="1" ht="21" customHeight="1" x14ac:dyDescent="0.15">
      <c r="A17" s="727" t="s">
        <v>388</v>
      </c>
      <c r="B17" s="727"/>
      <c r="C17" s="727"/>
      <c r="D17" s="727"/>
      <c r="E17" s="727"/>
      <c r="F17" s="727"/>
      <c r="G17" s="533"/>
    </row>
    <row r="18" spans="1:13" s="505" customFormat="1" ht="21" customHeight="1" x14ac:dyDescent="0.15">
      <c r="A18" s="680" t="s">
        <v>438</v>
      </c>
      <c r="B18" s="706" t="s">
        <v>439</v>
      </c>
      <c r="C18" s="681" t="s">
        <v>440</v>
      </c>
      <c r="D18" s="681" t="s">
        <v>441</v>
      </c>
      <c r="E18" s="681" t="s">
        <v>442</v>
      </c>
      <c r="F18" s="682" t="s">
        <v>443</v>
      </c>
      <c r="G18" s="533"/>
      <c r="H18" s="533"/>
      <c r="J18" s="574"/>
      <c r="M18" s="575"/>
    </row>
    <row r="19" spans="1:13" s="505" customFormat="1" ht="21" customHeight="1" x14ac:dyDescent="0.15">
      <c r="A19" s="683" t="s">
        <v>421</v>
      </c>
      <c r="B19" s="707">
        <v>46007</v>
      </c>
      <c r="C19" s="684">
        <v>2023</v>
      </c>
      <c r="D19" s="684">
        <v>944</v>
      </c>
      <c r="E19" s="567">
        <v>1117</v>
      </c>
      <c r="F19" s="685">
        <v>0.55210000000000004</v>
      </c>
      <c r="G19" s="717"/>
      <c r="H19" s="533"/>
    </row>
    <row r="20" spans="1:13" s="505" customFormat="1" ht="21" customHeight="1" x14ac:dyDescent="0.15">
      <c r="A20" s="683" t="s">
        <v>455</v>
      </c>
      <c r="B20" s="707">
        <v>46084</v>
      </c>
      <c r="C20" s="684">
        <v>596</v>
      </c>
      <c r="D20" s="684">
        <v>233</v>
      </c>
      <c r="E20" s="567">
        <v>272</v>
      </c>
      <c r="F20" s="685">
        <v>0.45629999999999998</v>
      </c>
      <c r="G20" s="533"/>
      <c r="H20" s="533"/>
    </row>
    <row r="21" spans="1:13" s="505" customFormat="1" ht="21" customHeight="1" x14ac:dyDescent="0.15">
      <c r="A21" s="683" t="s">
        <v>456</v>
      </c>
      <c r="B21" s="707">
        <v>46085</v>
      </c>
      <c r="C21" s="684">
        <v>543</v>
      </c>
      <c r="D21" s="684">
        <v>116</v>
      </c>
      <c r="E21" s="567">
        <v>181</v>
      </c>
      <c r="F21" s="685">
        <v>0.33329999999999999</v>
      </c>
      <c r="G21" s="533"/>
      <c r="H21" s="533"/>
      <c r="I21" s="533"/>
    </row>
    <row r="22" spans="1:13" s="505" customFormat="1" ht="21" customHeight="1" x14ac:dyDescent="0.15">
      <c r="A22" s="683" t="s">
        <v>422</v>
      </c>
      <c r="B22" s="707">
        <v>46031</v>
      </c>
      <c r="C22" s="684">
        <v>1157</v>
      </c>
      <c r="D22" s="684">
        <v>60</v>
      </c>
      <c r="E22" s="567">
        <v>220</v>
      </c>
      <c r="F22" s="685">
        <v>0.19009999999999999</v>
      </c>
      <c r="G22" s="533"/>
      <c r="H22" s="533"/>
      <c r="I22" s="533"/>
    </row>
    <row r="23" spans="1:13" s="505" customFormat="1" ht="21" customHeight="1" x14ac:dyDescent="0.15">
      <c r="A23" s="683" t="s">
        <v>484</v>
      </c>
      <c r="B23" s="707">
        <v>45987</v>
      </c>
      <c r="C23" s="684">
        <v>1243</v>
      </c>
      <c r="D23" s="684">
        <v>53</v>
      </c>
      <c r="E23" s="567">
        <v>412</v>
      </c>
      <c r="F23" s="685">
        <v>0.33139999999999997</v>
      </c>
      <c r="G23" s="533"/>
      <c r="H23" s="533"/>
      <c r="I23" s="570"/>
    </row>
    <row r="24" spans="1:13" s="505" customFormat="1" ht="21" customHeight="1" x14ac:dyDescent="0.15">
      <c r="A24" s="537"/>
      <c r="B24" s="537"/>
      <c r="C24" s="568"/>
      <c r="D24" s="568"/>
      <c r="E24" s="686"/>
      <c r="F24" s="708"/>
      <c r="G24" s="501"/>
      <c r="H24" s="533"/>
      <c r="I24" s="533"/>
    </row>
    <row r="25" spans="1:13" s="505" customFormat="1" ht="21" customHeight="1" x14ac:dyDescent="0.15">
      <c r="A25" s="727" t="s">
        <v>386</v>
      </c>
      <c r="B25" s="727"/>
      <c r="C25" s="727"/>
      <c r="D25" s="727"/>
      <c r="E25" s="727"/>
      <c r="F25" s="727"/>
      <c r="G25" s="501"/>
      <c r="H25" s="533"/>
      <c r="I25" s="533"/>
    </row>
    <row r="26" spans="1:13" s="505" customFormat="1" ht="21" customHeight="1" x14ac:dyDescent="0.15">
      <c r="A26" s="687" t="s">
        <v>362</v>
      </c>
      <c r="B26" s="681" t="s">
        <v>389</v>
      </c>
      <c r="C26" s="688" t="s">
        <v>364</v>
      </c>
      <c r="D26" s="687" t="s">
        <v>363</v>
      </c>
      <c r="E26" s="689" t="s">
        <v>372</v>
      </c>
      <c r="F26" s="706" t="s">
        <v>365</v>
      </c>
      <c r="G26" s="286"/>
      <c r="H26" s="501"/>
      <c r="I26" s="501"/>
    </row>
    <row r="27" spans="1:13" s="505" customFormat="1" ht="21" customHeight="1" x14ac:dyDescent="0.15">
      <c r="A27" s="719" t="s">
        <v>277</v>
      </c>
      <c r="B27" s="719" t="s">
        <v>387</v>
      </c>
      <c r="C27" s="690" t="s">
        <v>492</v>
      </c>
      <c r="D27" s="690">
        <v>3</v>
      </c>
      <c r="E27" s="690">
        <v>57837</v>
      </c>
      <c r="F27" s="709"/>
      <c r="G27" s="286"/>
      <c r="H27" s="501"/>
      <c r="I27" s="501"/>
      <c r="J27" s="514"/>
    </row>
    <row r="28" spans="1:13" s="505" customFormat="1" ht="21" customHeight="1" x14ac:dyDescent="0.15">
      <c r="A28" s="734" t="s">
        <v>276</v>
      </c>
      <c r="B28" s="691" t="s">
        <v>375</v>
      </c>
      <c r="C28" s="690" t="s">
        <v>493</v>
      </c>
      <c r="D28" s="690">
        <v>6</v>
      </c>
      <c r="E28" s="690">
        <v>2507</v>
      </c>
      <c r="F28" s="709"/>
      <c r="G28" s="534"/>
      <c r="H28" s="501"/>
      <c r="I28" s="501"/>
    </row>
    <row r="29" spans="1:13" s="505" customFormat="1" ht="21" customHeight="1" x14ac:dyDescent="0.15">
      <c r="A29" s="734"/>
      <c r="B29" s="691" t="s">
        <v>376</v>
      </c>
      <c r="C29" s="690" t="s">
        <v>494</v>
      </c>
      <c r="D29" s="690">
        <v>1</v>
      </c>
      <c r="E29" s="690">
        <v>367</v>
      </c>
      <c r="F29" s="709"/>
      <c r="G29" s="504"/>
      <c r="H29" s="501"/>
      <c r="I29" s="501"/>
    </row>
    <row r="30" spans="1:13" s="505" customFormat="1" ht="21" customHeight="1" x14ac:dyDescent="0.15">
      <c r="A30" s="734"/>
      <c r="B30" s="691" t="s">
        <v>377</v>
      </c>
      <c r="C30" s="690" t="s">
        <v>495</v>
      </c>
      <c r="D30" s="692">
        <v>1</v>
      </c>
      <c r="E30" s="690">
        <v>188</v>
      </c>
      <c r="F30" s="709"/>
      <c r="G30" s="504"/>
      <c r="H30" s="534"/>
      <c r="I30" s="501"/>
    </row>
    <row r="31" spans="1:13" s="505" customFormat="1" ht="21" customHeight="1" x14ac:dyDescent="0.15">
      <c r="A31" s="734"/>
      <c r="B31" s="691" t="s">
        <v>378</v>
      </c>
      <c r="C31" s="690"/>
      <c r="D31" s="690"/>
      <c r="E31" s="690"/>
      <c r="F31" s="709"/>
      <c r="G31" s="504"/>
      <c r="H31" s="504"/>
      <c r="I31" s="501"/>
    </row>
    <row r="32" spans="1:13" s="505" customFormat="1" ht="21" customHeight="1" x14ac:dyDescent="0.15">
      <c r="A32" s="734"/>
      <c r="B32" s="691" t="s">
        <v>382</v>
      </c>
      <c r="C32" s="690"/>
      <c r="D32" s="690"/>
      <c r="E32" s="690"/>
      <c r="F32" s="709"/>
      <c r="G32" s="504"/>
      <c r="H32" s="504"/>
    </row>
    <row r="33" spans="1:8" ht="18.75" customHeight="1" x14ac:dyDescent="0.15">
      <c r="A33" s="691" t="s">
        <v>383</v>
      </c>
      <c r="B33" s="691"/>
      <c r="C33" s="690"/>
      <c r="D33" s="690"/>
      <c r="E33" s="690"/>
      <c r="F33" s="710"/>
    </row>
    <row r="34" spans="1:8" ht="18.75" customHeight="1" x14ac:dyDescent="0.15">
      <c r="A34" s="694"/>
      <c r="B34" s="694"/>
      <c r="C34" s="695"/>
      <c r="D34" s="695"/>
      <c r="E34" s="695"/>
      <c r="F34" s="711"/>
    </row>
    <row r="35" spans="1:8" ht="18.75" customHeight="1" x14ac:dyDescent="0.15">
      <c r="A35" s="694"/>
      <c r="B35" s="694"/>
      <c r="C35" s="695"/>
      <c r="D35" s="695"/>
      <c r="E35" s="695"/>
      <c r="F35" s="711"/>
    </row>
    <row r="36" spans="1:8" ht="18.75" customHeight="1" x14ac:dyDescent="0.15">
      <c r="A36" s="727" t="s">
        <v>374</v>
      </c>
      <c r="B36" s="727"/>
      <c r="C36" s="727"/>
      <c r="D36" s="727"/>
      <c r="E36" s="727"/>
      <c r="F36" s="727"/>
      <c r="G36" s="674"/>
    </row>
    <row r="37" spans="1:8" ht="18.75" customHeight="1" x14ac:dyDescent="0.15">
      <c r="A37" s="687" t="s">
        <v>431</v>
      </c>
      <c r="B37" s="677" t="s">
        <v>432</v>
      </c>
      <c r="C37" s="687" t="s">
        <v>433</v>
      </c>
      <c r="D37" s="687" t="s">
        <v>434</v>
      </c>
      <c r="E37" s="687" t="s">
        <v>435</v>
      </c>
      <c r="F37" s="696" t="s">
        <v>436</v>
      </c>
      <c r="G37" s="696" t="s">
        <v>437</v>
      </c>
    </row>
    <row r="38" spans="1:8" ht="18.75" customHeight="1" x14ac:dyDescent="0.15">
      <c r="A38" s="691" t="s">
        <v>377</v>
      </c>
      <c r="B38" s="690" t="s">
        <v>485</v>
      </c>
      <c r="C38" s="697">
        <v>6001947226</v>
      </c>
      <c r="D38" s="697" t="s">
        <v>486</v>
      </c>
      <c r="E38" s="693">
        <v>40</v>
      </c>
      <c r="F38" s="690">
        <v>9832.6214999999993</v>
      </c>
      <c r="G38" s="728" t="s">
        <v>496</v>
      </c>
      <c r="H38" s="505"/>
    </row>
    <row r="39" spans="1:8" s="505" customFormat="1" ht="21" customHeight="1" x14ac:dyDescent="0.15">
      <c r="A39" s="691" t="s">
        <v>377</v>
      </c>
      <c r="B39" s="690" t="s">
        <v>485</v>
      </c>
      <c r="C39" s="697">
        <v>6001947232</v>
      </c>
      <c r="D39" s="697" t="s">
        <v>487</v>
      </c>
      <c r="E39" s="693">
        <v>25</v>
      </c>
      <c r="F39" s="690">
        <v>5543.6409000000003</v>
      </c>
      <c r="G39" s="729"/>
    </row>
    <row r="40" spans="1:8" ht="21" customHeight="1" x14ac:dyDescent="0.15">
      <c r="A40" s="691" t="s">
        <v>488</v>
      </c>
      <c r="B40" s="690" t="s">
        <v>489</v>
      </c>
      <c r="C40" s="697">
        <v>6001678976</v>
      </c>
      <c r="D40" s="697">
        <v>1220613223</v>
      </c>
      <c r="E40" s="693">
        <v>40</v>
      </c>
      <c r="F40" s="690">
        <v>15.815200000000001</v>
      </c>
      <c r="G40" s="690" t="s">
        <v>497</v>
      </c>
    </row>
    <row r="41" spans="1:8" s="505" customFormat="1" ht="21" customHeight="1" x14ac:dyDescent="0.15">
      <c r="A41" s="691" t="s">
        <v>377</v>
      </c>
      <c r="B41" s="690" t="s">
        <v>490</v>
      </c>
      <c r="C41" s="697">
        <v>1230625710</v>
      </c>
      <c r="D41" s="697" t="s">
        <v>491</v>
      </c>
      <c r="E41" s="693">
        <v>250</v>
      </c>
      <c r="F41" s="690">
        <v>0</v>
      </c>
      <c r="G41" s="690" t="s">
        <v>498</v>
      </c>
      <c r="H41" s="504"/>
    </row>
  </sheetData>
  <mergeCells count="9">
    <mergeCell ref="A1:F1"/>
    <mergeCell ref="A13:F13"/>
    <mergeCell ref="A17:F17"/>
    <mergeCell ref="A25:F25"/>
    <mergeCell ref="G38:G39"/>
    <mergeCell ref="A36:F36"/>
    <mergeCell ref="G2:G3"/>
    <mergeCell ref="B2:F2"/>
    <mergeCell ref="A28:A32"/>
  </mergeCells>
  <phoneticPr fontId="38" type="noConversion"/>
  <pageMargins left="0.53" right="0.44" top="0.75" bottom="0.16" header="0.31" footer="0.16"/>
  <pageSetup paperSize="9" scale="43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57" t="s">
        <v>145</v>
      </c>
      <c r="B3" s="857"/>
      <c r="C3" s="857"/>
      <c r="D3" s="857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7" t="s">
        <v>12</v>
      </c>
      <c r="T3" s="857" t="s">
        <v>147</v>
      </c>
      <c r="X3" s="290"/>
    </row>
    <row r="4" spans="1:24" s="319" customFormat="1" ht="20.100000000000001" customHeight="1" x14ac:dyDescent="0.15">
      <c r="A4" s="857"/>
      <c r="B4" s="857"/>
      <c r="C4" s="857"/>
      <c r="D4" s="857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7"/>
      <c r="T4" s="857"/>
      <c r="U4" s="318"/>
    </row>
    <row r="5" spans="1:24" s="289" customFormat="1" ht="20.100000000000001" customHeight="1" x14ac:dyDescent="0.15">
      <c r="A5" s="333"/>
      <c r="B5" s="858" t="s">
        <v>26</v>
      </c>
      <c r="C5" s="858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58" t="s">
        <v>228</v>
      </c>
      <c r="C6" s="858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58" t="s">
        <v>27</v>
      </c>
      <c r="C7" s="858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58" t="s">
        <v>29</v>
      </c>
      <c r="C8" s="858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58" t="s">
        <v>151</v>
      </c>
      <c r="C9" s="858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57" t="s">
        <v>11</v>
      </c>
      <c r="C10" s="857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58"/>
      <c r="C11" s="858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0" t="s">
        <v>302</v>
      </c>
      <c r="C13" s="860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3"/>
      <c r="U13" s="317"/>
    </row>
    <row r="14" spans="1:24" s="289" customFormat="1" ht="20.100000000000001" customHeight="1" x14ac:dyDescent="0.15">
      <c r="A14" s="334"/>
      <c r="B14" s="858" t="s">
        <v>303</v>
      </c>
      <c r="C14" s="858"/>
      <c r="D14" s="298"/>
      <c r="E14" s="326"/>
      <c r="F14" s="326"/>
      <c r="G14" s="326"/>
      <c r="H14" s="326"/>
      <c r="I14" s="326"/>
      <c r="J14" s="326"/>
      <c r="K14" s="453">
        <f>SUM(E14:J14)</f>
        <v>0</v>
      </c>
      <c r="L14" s="326"/>
      <c r="M14" s="326"/>
      <c r="N14" s="326"/>
      <c r="O14" s="326"/>
      <c r="P14" s="326"/>
      <c r="Q14" s="326"/>
      <c r="R14" s="453">
        <f>SUM(L14:Q14)</f>
        <v>0</v>
      </c>
      <c r="S14" s="453">
        <f>K14+R14</f>
        <v>0</v>
      </c>
      <c r="T14" s="453"/>
      <c r="U14" s="317"/>
    </row>
    <row r="15" spans="1:24" s="289" customFormat="1" ht="20.100000000000001" customHeight="1" thickBot="1" x14ac:dyDescent="0.2">
      <c r="A15" s="334"/>
      <c r="B15" s="858" t="s">
        <v>304</v>
      </c>
      <c r="C15" s="858"/>
      <c r="D15" s="298"/>
      <c r="E15" s="454">
        <f>E14</f>
        <v>0</v>
      </c>
      <c r="F15" s="454">
        <f>E15+F14</f>
        <v>0</v>
      </c>
      <c r="G15" s="454">
        <f>F15+G14</f>
        <v>0</v>
      </c>
      <c r="H15" s="454">
        <f>G15+H14</f>
        <v>0</v>
      </c>
      <c r="I15" s="454">
        <f>H15+I14</f>
        <v>0</v>
      </c>
      <c r="J15" s="454">
        <f>I15+J14</f>
        <v>0</v>
      </c>
      <c r="K15" s="454">
        <f>J15</f>
        <v>0</v>
      </c>
      <c r="L15" s="454">
        <f t="shared" ref="L15:Q15" si="10">K15+L14</f>
        <v>0</v>
      </c>
      <c r="M15" s="454">
        <f t="shared" si="10"/>
        <v>0</v>
      </c>
      <c r="N15" s="454">
        <f t="shared" si="10"/>
        <v>0</v>
      </c>
      <c r="O15" s="454">
        <f t="shared" si="10"/>
        <v>0</v>
      </c>
      <c r="P15" s="454">
        <f t="shared" si="10"/>
        <v>0</v>
      </c>
      <c r="Q15" s="454">
        <f t="shared" si="10"/>
        <v>0</v>
      </c>
      <c r="R15" s="454">
        <f>Q15</f>
        <v>0</v>
      </c>
      <c r="S15" s="454">
        <f>R15</f>
        <v>0</v>
      </c>
      <c r="T15" s="453"/>
      <c r="U15" s="317"/>
    </row>
    <row r="16" spans="1:24" s="289" customFormat="1" ht="20.100000000000001" customHeight="1" thickBot="1" x14ac:dyDescent="0.2">
      <c r="A16" s="334"/>
      <c r="B16" s="858" t="s">
        <v>305</v>
      </c>
      <c r="C16" s="858"/>
      <c r="D16" s="455"/>
      <c r="E16" s="456">
        <f t="shared" ref="E16:S16" si="11">E15/$S$10</f>
        <v>0</v>
      </c>
      <c r="F16" s="457">
        <f t="shared" si="11"/>
        <v>0</v>
      </c>
      <c r="G16" s="457">
        <f t="shared" si="11"/>
        <v>0</v>
      </c>
      <c r="H16" s="457">
        <f t="shared" si="11"/>
        <v>0</v>
      </c>
      <c r="I16" s="457">
        <f t="shared" si="11"/>
        <v>0</v>
      </c>
      <c r="J16" s="457">
        <f t="shared" si="11"/>
        <v>0</v>
      </c>
      <c r="K16" s="457">
        <f t="shared" si="11"/>
        <v>0</v>
      </c>
      <c r="L16" s="457">
        <f t="shared" si="11"/>
        <v>0</v>
      </c>
      <c r="M16" s="457">
        <f t="shared" si="11"/>
        <v>0</v>
      </c>
      <c r="N16" s="457">
        <f t="shared" si="11"/>
        <v>0</v>
      </c>
      <c r="O16" s="457">
        <f t="shared" si="11"/>
        <v>0</v>
      </c>
      <c r="P16" s="457">
        <f t="shared" si="11"/>
        <v>0</v>
      </c>
      <c r="Q16" s="457">
        <f t="shared" si="11"/>
        <v>0</v>
      </c>
      <c r="R16" s="457">
        <f t="shared" si="11"/>
        <v>0</v>
      </c>
      <c r="S16" s="458">
        <f t="shared" si="11"/>
        <v>0</v>
      </c>
      <c r="T16" s="459"/>
      <c r="U16" s="317"/>
    </row>
    <row r="17" spans="1:21" ht="24" customHeight="1" x14ac:dyDescent="0.15">
      <c r="E17" s="470">
        <f t="shared" ref="E17:J17" si="12">E15/E13</f>
        <v>0</v>
      </c>
      <c r="F17" s="470">
        <f t="shared" si="12"/>
        <v>0</v>
      </c>
      <c r="G17" s="470">
        <f t="shared" si="12"/>
        <v>0</v>
      </c>
      <c r="H17" s="470">
        <f t="shared" si="12"/>
        <v>0</v>
      </c>
      <c r="I17" s="470">
        <f t="shared" si="12"/>
        <v>0</v>
      </c>
      <c r="J17" s="470">
        <f t="shared" si="12"/>
        <v>0</v>
      </c>
      <c r="L17" s="470">
        <f t="shared" ref="L17:Q17" si="13">L15/L13</f>
        <v>0</v>
      </c>
      <c r="M17" s="470">
        <f t="shared" si="13"/>
        <v>0</v>
      </c>
      <c r="N17" s="470">
        <f t="shared" si="13"/>
        <v>0</v>
      </c>
      <c r="O17" s="470">
        <f t="shared" si="13"/>
        <v>0</v>
      </c>
      <c r="P17" s="470">
        <f t="shared" si="13"/>
        <v>0</v>
      </c>
      <c r="Q17" s="470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59" t="s">
        <v>212</v>
      </c>
      <c r="B19" s="859" t="s">
        <v>213</v>
      </c>
      <c r="C19" s="859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59"/>
      <c r="B20" s="859" t="s">
        <v>214</v>
      </c>
      <c r="C20" s="859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59"/>
      <c r="B21" s="859" t="s">
        <v>215</v>
      </c>
      <c r="C21" s="859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5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6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5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6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5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6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5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6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5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6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5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6" t="b">
        <f>EXACT(Q28,S9)</f>
        <v>1</v>
      </c>
      <c r="U28" s="317"/>
    </row>
  </sheetData>
  <mergeCells count="19"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  <mergeCell ref="D3:D4"/>
    <mergeCell ref="S3:S4"/>
    <mergeCell ref="T3:T4"/>
    <mergeCell ref="B5:C5"/>
    <mergeCell ref="B6:C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>
      <selection activeCell="H23" sqref="H23"/>
    </sheetView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57" t="s">
        <v>13</v>
      </c>
      <c r="B3" s="857"/>
      <c r="C3" s="857"/>
      <c r="D3" s="857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7" t="s">
        <v>12</v>
      </c>
      <c r="T3" s="857" t="s">
        <v>17</v>
      </c>
      <c r="X3" s="290"/>
    </row>
    <row r="4" spans="1:24" s="319" customFormat="1" ht="20.100000000000001" customHeight="1" x14ac:dyDescent="0.15">
      <c r="A4" s="857"/>
      <c r="B4" s="857"/>
      <c r="C4" s="857"/>
      <c r="D4" s="857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7"/>
      <c r="T4" s="857"/>
      <c r="U4" s="318"/>
    </row>
    <row r="5" spans="1:24" s="289" customFormat="1" ht="20.100000000000001" customHeight="1" x14ac:dyDescent="0.15">
      <c r="A5" s="322"/>
      <c r="B5" s="858" t="s">
        <v>26</v>
      </c>
      <c r="C5" s="858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58" t="s">
        <v>228</v>
      </c>
      <c r="C6" s="858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58" t="s">
        <v>27</v>
      </c>
      <c r="C7" s="858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58" t="s">
        <v>29</v>
      </c>
      <c r="C8" s="858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58" t="s">
        <v>151</v>
      </c>
      <c r="C9" s="858"/>
      <c r="D9" s="327">
        <v>47</v>
      </c>
      <c r="E9" s="327">
        <v>0</v>
      </c>
      <c r="F9" s="498">
        <v>0</v>
      </c>
      <c r="G9" s="327">
        <v>0</v>
      </c>
      <c r="H9" s="327">
        <v>0</v>
      </c>
      <c r="I9" s="498">
        <v>0</v>
      </c>
      <c r="J9" s="498">
        <v>0</v>
      </c>
      <c r="K9" s="330">
        <f t="shared" si="1"/>
        <v>0</v>
      </c>
      <c r="L9" s="327">
        <v>1</v>
      </c>
      <c r="M9" s="498">
        <v>0</v>
      </c>
      <c r="N9" s="327">
        <v>0</v>
      </c>
      <c r="O9" s="327">
        <v>0</v>
      </c>
      <c r="P9" s="498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57" t="s">
        <v>11</v>
      </c>
      <c r="C10" s="857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58"/>
      <c r="C11" s="858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1" t="s">
        <v>219</v>
      </c>
      <c r="B15" s="859" t="s">
        <v>220</v>
      </c>
      <c r="C15" s="859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59"/>
      <c r="B16" s="859" t="s">
        <v>221</v>
      </c>
      <c r="C16" s="859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59"/>
      <c r="B17" s="859" t="s">
        <v>222</v>
      </c>
      <c r="C17" s="859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B11:C11"/>
    <mergeCell ref="A15:A17"/>
    <mergeCell ref="B15:C15"/>
    <mergeCell ref="B16:C16"/>
    <mergeCell ref="B17:C17"/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62" t="s">
        <v>18</v>
      </c>
      <c r="B3" s="862"/>
      <c r="C3" s="862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2"/>
      <c r="B4" s="862"/>
      <c r="C4" s="862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8">
        <v>7484365564</v>
      </c>
      <c r="E6" s="718">
        <v>5712325969</v>
      </c>
      <c r="F6" s="718">
        <v>4710006409</v>
      </c>
      <c r="G6" s="718">
        <v>3035367510</v>
      </c>
      <c r="H6" s="718">
        <v>2303352863</v>
      </c>
      <c r="I6" s="718">
        <v>1997629875</v>
      </c>
      <c r="J6" s="309">
        <f>SUM(D6:I6)</f>
        <v>25243048190</v>
      </c>
      <c r="K6" s="718">
        <v>1875537362</v>
      </c>
      <c r="L6" s="718">
        <v>1805179063</v>
      </c>
      <c r="M6" s="718">
        <v>1777114323</v>
      </c>
      <c r="N6" s="718">
        <v>2534399160</v>
      </c>
      <c r="O6" s="718">
        <v>4045657715</v>
      </c>
      <c r="P6" s="718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8">
        <v>7224348461</v>
      </c>
      <c r="E9" s="718">
        <v>6791214488</v>
      </c>
      <c r="F9" s="718">
        <v>4749766834</v>
      </c>
      <c r="G9" s="718">
        <v>3033061532</v>
      </c>
      <c r="H9" s="718">
        <v>2367844372</v>
      </c>
      <c r="I9" s="718">
        <v>1941591221</v>
      </c>
      <c r="J9" s="309">
        <f>SUM(D9:I9)</f>
        <v>26107826908</v>
      </c>
      <c r="K9" s="718">
        <v>1906098774</v>
      </c>
      <c r="L9" s="718">
        <v>1785123907</v>
      </c>
      <c r="M9" s="718">
        <v>1911886096</v>
      </c>
      <c r="N9" s="718">
        <v>2223109609</v>
      </c>
      <c r="O9" s="718">
        <v>3889180533</v>
      </c>
      <c r="P9" s="718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7" t="s">
        <v>18</v>
      </c>
      <c r="B17" s="857"/>
      <c r="C17" s="857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7" t="s">
        <v>12</v>
      </c>
    </row>
    <row r="18" spans="1:25" s="289" customFormat="1" ht="20.25" customHeight="1" x14ac:dyDescent="0.15">
      <c r="A18" s="857"/>
      <c r="B18" s="857"/>
      <c r="C18" s="857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7"/>
    </row>
    <row r="19" spans="1:25" s="292" customFormat="1" ht="20.25" customHeight="1" x14ac:dyDescent="0.15">
      <c r="A19" s="863" t="s">
        <v>164</v>
      </c>
      <c r="B19" s="863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3"/>
      <c r="B20" s="863"/>
      <c r="C20" s="297" t="s">
        <v>166</v>
      </c>
      <c r="D20" s="467"/>
      <c r="E20" s="467"/>
      <c r="F20" s="467"/>
      <c r="G20" s="467"/>
      <c r="H20" s="467"/>
      <c r="I20" s="467"/>
      <c r="J20" s="299">
        <f>SUM(D20:I20)</f>
        <v>0</v>
      </c>
      <c r="K20" s="467"/>
      <c r="L20" s="467"/>
      <c r="M20" s="467"/>
      <c r="N20" s="467"/>
      <c r="O20" s="467"/>
      <c r="P20" s="467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4" t="s">
        <v>137</v>
      </c>
      <c r="J24" s="864" t="s">
        <v>172</v>
      </c>
      <c r="K24" s="864" t="s">
        <v>173</v>
      </c>
      <c r="L24" s="864" t="s">
        <v>174</v>
      </c>
      <c r="M24" s="864" t="s">
        <v>140</v>
      </c>
      <c r="N24" s="864" t="s">
        <v>141</v>
      </c>
      <c r="O24" s="864" t="s">
        <v>142</v>
      </c>
      <c r="P24" s="864" t="s">
        <v>143</v>
      </c>
      <c r="Q24" s="864" t="s">
        <v>175</v>
      </c>
      <c r="R24" s="864" t="s">
        <v>178</v>
      </c>
    </row>
    <row r="25" spans="1:25" s="295" customFormat="1" ht="20.25" customHeight="1" x14ac:dyDescent="0.15">
      <c r="A25" s="874"/>
      <c r="B25" s="875"/>
      <c r="C25" s="876"/>
      <c r="D25" s="870"/>
      <c r="E25" s="870"/>
      <c r="F25" s="870"/>
      <c r="G25" s="870"/>
      <c r="H25" s="870"/>
      <c r="I25" s="865"/>
      <c r="J25" s="865"/>
      <c r="K25" s="865"/>
      <c r="L25" s="865"/>
      <c r="M25" s="865"/>
      <c r="N25" s="865"/>
      <c r="O25" s="865"/>
      <c r="P25" s="865"/>
      <c r="Q25" s="865"/>
      <c r="R25" s="865"/>
    </row>
    <row r="26" spans="1:25" s="295" customFormat="1" ht="20.25" customHeight="1" x14ac:dyDescent="0.15">
      <c r="A26" s="866" t="s">
        <v>307</v>
      </c>
      <c r="B26" s="867"/>
      <c r="C26" s="868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6" t="s">
        <v>308</v>
      </c>
      <c r="B27" s="867"/>
      <c r="C27" s="868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  <mergeCell ref="A3:C4"/>
    <mergeCell ref="A17:C18"/>
    <mergeCell ref="R17:R18"/>
    <mergeCell ref="A19:B20"/>
    <mergeCell ref="R24:R25"/>
    <mergeCell ref="P24:P25"/>
    <mergeCell ref="Q24:Q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3" t="s">
        <v>390</v>
      </c>
      <c r="R1" s="572">
        <v>42.369</v>
      </c>
    </row>
    <row r="2" spans="1:22" ht="19.5" customHeight="1" x14ac:dyDescent="0.15"/>
    <row r="3" spans="1:22" s="114" customFormat="1" ht="20.25" customHeight="1" x14ac:dyDescent="0.15">
      <c r="A3" s="862" t="s">
        <v>18</v>
      </c>
      <c r="B3" s="862"/>
      <c r="C3" s="862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2"/>
      <c r="B4" s="862"/>
      <c r="C4" s="862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6">
        <v>170975136</v>
      </c>
      <c r="E6" s="466">
        <v>134373668</v>
      </c>
      <c r="F6" s="466">
        <v>112885409</v>
      </c>
      <c r="G6" s="466">
        <v>72162192</v>
      </c>
      <c r="H6" s="466">
        <v>57800406</v>
      </c>
      <c r="I6" s="466">
        <v>47106006</v>
      </c>
      <c r="J6" s="309">
        <f>SUM(D6:I6)</f>
        <v>595302817</v>
      </c>
      <c r="K6" s="466">
        <v>46925360</v>
      </c>
      <c r="L6" s="466">
        <v>44955675</v>
      </c>
      <c r="M6" s="466">
        <v>48028606</v>
      </c>
      <c r="N6" s="466">
        <v>57195477</v>
      </c>
      <c r="O6" s="466">
        <v>104566219</v>
      </c>
      <c r="P6" s="466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6">
        <v>168431283</v>
      </c>
      <c r="E9" s="466">
        <v>133092425</v>
      </c>
      <c r="F9" s="466">
        <v>120958338</v>
      </c>
      <c r="G9" s="466">
        <v>66900416</v>
      </c>
      <c r="H9" s="466">
        <v>56313203</v>
      </c>
      <c r="I9" s="466">
        <v>47949001</v>
      </c>
      <c r="J9" s="309">
        <f>SUM(D9:I9)</f>
        <v>593644666</v>
      </c>
      <c r="K9" s="466">
        <v>48263208</v>
      </c>
      <c r="L9" s="466">
        <v>44234358</v>
      </c>
      <c r="M9" s="466">
        <v>42671369</v>
      </c>
      <c r="N9" s="466">
        <v>56594621</v>
      </c>
      <c r="O9" s="466">
        <v>90787759</v>
      </c>
      <c r="P9" s="466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7" t="s">
        <v>18</v>
      </c>
      <c r="B17" s="857"/>
      <c r="C17" s="857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7" t="s">
        <v>12</v>
      </c>
    </row>
    <row r="18" spans="1:25" s="289" customFormat="1" ht="20.25" customHeight="1" x14ac:dyDescent="0.15">
      <c r="A18" s="857"/>
      <c r="B18" s="857"/>
      <c r="C18" s="857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7"/>
    </row>
    <row r="19" spans="1:25" s="292" customFormat="1" ht="20.25" customHeight="1" x14ac:dyDescent="0.15">
      <c r="A19" s="863" t="s">
        <v>164</v>
      </c>
      <c r="B19" s="863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3"/>
      <c r="B20" s="863"/>
      <c r="C20" s="297" t="s">
        <v>166</v>
      </c>
      <c r="D20" s="467">
        <v>0</v>
      </c>
      <c r="E20" s="467">
        <v>0</v>
      </c>
      <c r="F20" s="467">
        <v>0</v>
      </c>
      <c r="G20" s="467">
        <v>0</v>
      </c>
      <c r="H20" s="467">
        <v>0</v>
      </c>
      <c r="I20" s="467">
        <v>0</v>
      </c>
      <c r="J20" s="299">
        <f>SUM(D20:I20)</f>
        <v>0</v>
      </c>
      <c r="K20" s="467">
        <v>0</v>
      </c>
      <c r="L20" s="467">
        <v>0</v>
      </c>
      <c r="M20" s="467">
        <v>0</v>
      </c>
      <c r="N20" s="467">
        <v>0</v>
      </c>
      <c r="O20" s="467">
        <v>0</v>
      </c>
      <c r="P20" s="467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4" t="s">
        <v>137</v>
      </c>
      <c r="J24" s="864" t="s">
        <v>172</v>
      </c>
      <c r="K24" s="864" t="s">
        <v>173</v>
      </c>
      <c r="L24" s="864" t="s">
        <v>174</v>
      </c>
      <c r="M24" s="864" t="s">
        <v>140</v>
      </c>
      <c r="N24" s="864" t="s">
        <v>141</v>
      </c>
      <c r="O24" s="864" t="s">
        <v>142</v>
      </c>
      <c r="P24" s="864" t="s">
        <v>143</v>
      </c>
      <c r="Q24" s="864" t="s">
        <v>175</v>
      </c>
      <c r="R24" s="864" t="s">
        <v>178</v>
      </c>
    </row>
    <row r="25" spans="1:25" s="295" customFormat="1" ht="20.25" customHeight="1" x14ac:dyDescent="0.15">
      <c r="A25" s="874"/>
      <c r="B25" s="875"/>
      <c r="C25" s="876"/>
      <c r="D25" s="870"/>
      <c r="E25" s="870"/>
      <c r="F25" s="870"/>
      <c r="G25" s="870"/>
      <c r="H25" s="870"/>
      <c r="I25" s="865"/>
      <c r="J25" s="865"/>
      <c r="K25" s="865"/>
      <c r="L25" s="865"/>
      <c r="M25" s="865"/>
      <c r="N25" s="865"/>
      <c r="O25" s="865"/>
      <c r="P25" s="865"/>
      <c r="Q25" s="865"/>
      <c r="R25" s="865"/>
    </row>
    <row r="26" spans="1:25" s="295" customFormat="1" ht="20.25" customHeight="1" x14ac:dyDescent="0.15">
      <c r="A26" s="866" t="s">
        <v>179</v>
      </c>
      <c r="B26" s="867"/>
      <c r="C26" s="868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6" t="s">
        <v>176</v>
      </c>
      <c r="B27" s="867"/>
      <c r="C27" s="868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7:C27"/>
    <mergeCell ref="I24:I25"/>
    <mergeCell ref="J24:J25"/>
    <mergeCell ref="K24:K25"/>
    <mergeCell ref="L24:L25"/>
    <mergeCell ref="A26:C26"/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topLeftCell="C1" workbookViewId="0">
      <selection activeCell="G9" sqref="G9"/>
    </sheetView>
  </sheetViews>
  <sheetFormatPr defaultColWidth="9" defaultRowHeight="14.25" x14ac:dyDescent="0.15"/>
  <cols>
    <col min="1" max="1" width="24.25" style="474" customWidth="1"/>
    <col min="2" max="2" width="10.25" style="474" customWidth="1"/>
    <col min="3" max="3" width="22.125" style="673" customWidth="1"/>
    <col min="4" max="4" width="21.75" style="474" customWidth="1"/>
    <col min="5" max="15" width="20.625" style="474" customWidth="1"/>
    <col min="16" max="16384" width="9" style="474"/>
  </cols>
  <sheetData>
    <row r="1" spans="1:15" s="577" customFormat="1" ht="31.5" customHeight="1" x14ac:dyDescent="0.15">
      <c r="A1" s="576" t="s">
        <v>457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</row>
    <row r="2" spans="1:15" s="577" customFormat="1" ht="31.5" customHeight="1" x14ac:dyDescent="0.1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</row>
    <row r="3" spans="1:15" s="577" customFormat="1" ht="26.25" thickBot="1" x14ac:dyDescent="0.2">
      <c r="A3" s="580" t="s">
        <v>392</v>
      </c>
      <c r="B3" s="581"/>
      <c r="C3" s="582"/>
      <c r="D3" s="581"/>
      <c r="E3" s="581"/>
      <c r="F3" s="581"/>
      <c r="G3" s="581"/>
      <c r="H3" s="581"/>
      <c r="I3" s="581"/>
      <c r="J3" s="581"/>
      <c r="K3" s="581"/>
      <c r="L3" s="581"/>
      <c r="M3" s="581"/>
      <c r="N3" s="581"/>
      <c r="O3" s="581"/>
    </row>
    <row r="4" spans="1:15" s="583" customFormat="1" ht="16.5" customHeight="1" x14ac:dyDescent="0.15">
      <c r="A4" s="889" t="s">
        <v>393</v>
      </c>
      <c r="B4" s="890"/>
      <c r="C4" s="893" t="s">
        <v>394</v>
      </c>
      <c r="D4" s="894"/>
      <c r="E4" s="894"/>
      <c r="F4" s="894"/>
      <c r="G4" s="894"/>
      <c r="H4" s="895"/>
      <c r="I4" s="896" t="s">
        <v>395</v>
      </c>
      <c r="J4" s="894"/>
      <c r="K4" s="894"/>
      <c r="L4" s="894"/>
      <c r="M4" s="894"/>
      <c r="N4" s="897"/>
      <c r="O4" s="877" t="s">
        <v>396</v>
      </c>
    </row>
    <row r="5" spans="1:15" s="583" customFormat="1" ht="12.75" thickBot="1" x14ac:dyDescent="0.2">
      <c r="A5" s="891"/>
      <c r="B5" s="892"/>
      <c r="C5" s="584">
        <v>1</v>
      </c>
      <c r="D5" s="585">
        <f>C5+1</f>
        <v>2</v>
      </c>
      <c r="E5" s="585">
        <f t="shared" ref="E5:N5" si="0">D5+1</f>
        <v>3</v>
      </c>
      <c r="F5" s="585">
        <f t="shared" si="0"/>
        <v>4</v>
      </c>
      <c r="G5" s="585">
        <f t="shared" si="0"/>
        <v>5</v>
      </c>
      <c r="H5" s="586">
        <f t="shared" si="0"/>
        <v>6</v>
      </c>
      <c r="I5" s="587">
        <f t="shared" si="0"/>
        <v>7</v>
      </c>
      <c r="J5" s="585">
        <f t="shared" si="0"/>
        <v>8</v>
      </c>
      <c r="K5" s="585">
        <f t="shared" si="0"/>
        <v>9</v>
      </c>
      <c r="L5" s="585">
        <f t="shared" si="0"/>
        <v>10</v>
      </c>
      <c r="M5" s="585">
        <f t="shared" si="0"/>
        <v>11</v>
      </c>
      <c r="N5" s="588">
        <f t="shared" si="0"/>
        <v>12</v>
      </c>
      <c r="O5" s="878"/>
    </row>
    <row r="6" spans="1:15" s="583" customFormat="1" ht="20.100000000000001" customHeight="1" x14ac:dyDescent="0.15">
      <c r="A6" s="879" t="s">
        <v>397</v>
      </c>
      <c r="B6" s="882" t="s">
        <v>398</v>
      </c>
      <c r="C6" s="589" t="s">
        <v>419</v>
      </c>
      <c r="D6" s="590" t="s">
        <v>453</v>
      </c>
      <c r="E6" s="590" t="s">
        <v>452</v>
      </c>
      <c r="F6" s="590" t="s">
        <v>421</v>
      </c>
      <c r="G6" s="590" t="s">
        <v>414</v>
      </c>
      <c r="H6" s="591" t="s">
        <v>417</v>
      </c>
      <c r="I6" s="592" t="s">
        <v>414</v>
      </c>
      <c r="J6" s="590" t="s">
        <v>458</v>
      </c>
      <c r="K6" s="590" t="s">
        <v>391</v>
      </c>
      <c r="L6" s="590" t="s">
        <v>450</v>
      </c>
      <c r="M6" s="590" t="s">
        <v>414</v>
      </c>
      <c r="N6" s="593" t="s">
        <v>459</v>
      </c>
      <c r="O6" s="594"/>
    </row>
    <row r="7" spans="1:15" s="583" customFormat="1" ht="20.100000000000001" customHeight="1" x14ac:dyDescent="0.15">
      <c r="A7" s="880"/>
      <c r="B7" s="883"/>
      <c r="C7" s="595">
        <v>1758</v>
      </c>
      <c r="D7" s="596">
        <v>752</v>
      </c>
      <c r="E7" s="596">
        <v>451</v>
      </c>
      <c r="F7" s="596">
        <v>2023</v>
      </c>
      <c r="G7" s="596" t="s">
        <v>414</v>
      </c>
      <c r="H7" s="597">
        <v>691</v>
      </c>
      <c r="I7" s="598" t="s">
        <v>414</v>
      </c>
      <c r="J7" s="596">
        <v>355</v>
      </c>
      <c r="K7" s="596">
        <v>124</v>
      </c>
      <c r="L7" s="596">
        <v>278</v>
      </c>
      <c r="M7" s="596" t="s">
        <v>414</v>
      </c>
      <c r="N7" s="599">
        <v>438</v>
      </c>
      <c r="O7" s="600"/>
    </row>
    <row r="8" spans="1:15" s="583" customFormat="1" ht="20.100000000000001" customHeight="1" x14ac:dyDescent="0.15">
      <c r="A8" s="880"/>
      <c r="B8" s="883"/>
      <c r="C8" s="601" t="s">
        <v>420</v>
      </c>
      <c r="D8" s="602" t="s">
        <v>423</v>
      </c>
      <c r="E8" s="603" t="s">
        <v>454</v>
      </c>
      <c r="F8" s="603" t="s">
        <v>416</v>
      </c>
      <c r="G8" s="603" t="s">
        <v>414</v>
      </c>
      <c r="H8" s="604" t="s">
        <v>460</v>
      </c>
      <c r="I8" s="605" t="s">
        <v>414</v>
      </c>
      <c r="J8" s="603" t="s">
        <v>414</v>
      </c>
      <c r="K8" s="603" t="s">
        <v>414</v>
      </c>
      <c r="L8" s="603" t="s">
        <v>414</v>
      </c>
      <c r="M8" s="603" t="s">
        <v>414</v>
      </c>
      <c r="N8" s="606" t="s">
        <v>414</v>
      </c>
      <c r="O8" s="607"/>
    </row>
    <row r="9" spans="1:15" s="583" customFormat="1" ht="20.100000000000001" customHeight="1" x14ac:dyDescent="0.15">
      <c r="A9" s="880"/>
      <c r="B9" s="883"/>
      <c r="C9" s="608">
        <v>492</v>
      </c>
      <c r="D9" s="609">
        <v>200</v>
      </c>
      <c r="E9" s="596">
        <v>29</v>
      </c>
      <c r="F9" s="596">
        <v>463</v>
      </c>
      <c r="G9" s="596" t="s">
        <v>414</v>
      </c>
      <c r="H9" s="610">
        <v>1740</v>
      </c>
      <c r="I9" s="598" t="s">
        <v>414</v>
      </c>
      <c r="J9" s="596" t="s">
        <v>414</v>
      </c>
      <c r="K9" s="596" t="s">
        <v>414</v>
      </c>
      <c r="L9" s="611" t="s">
        <v>414</v>
      </c>
      <c r="M9" s="596" t="s">
        <v>414</v>
      </c>
      <c r="N9" s="599" t="s">
        <v>414</v>
      </c>
      <c r="O9" s="600"/>
    </row>
    <row r="10" spans="1:15" s="583" customFormat="1" ht="20.100000000000001" customHeight="1" x14ac:dyDescent="0.15">
      <c r="A10" s="880"/>
      <c r="B10" s="883"/>
      <c r="C10" s="601" t="s">
        <v>414</v>
      </c>
      <c r="D10" s="602" t="s">
        <v>451</v>
      </c>
      <c r="E10" s="603" t="s">
        <v>414</v>
      </c>
      <c r="F10" s="603" t="s">
        <v>455</v>
      </c>
      <c r="G10" s="603" t="s">
        <v>414</v>
      </c>
      <c r="H10" s="612"/>
      <c r="I10" s="605" t="s">
        <v>414</v>
      </c>
      <c r="J10" s="603" t="s">
        <v>414</v>
      </c>
      <c r="K10" s="603" t="s">
        <v>414</v>
      </c>
      <c r="L10" s="603" t="s">
        <v>414</v>
      </c>
      <c r="M10" s="603" t="s">
        <v>414</v>
      </c>
      <c r="N10" s="606" t="s">
        <v>414</v>
      </c>
      <c r="O10" s="607"/>
    </row>
    <row r="11" spans="1:15" s="583" customFormat="1" ht="20.100000000000001" customHeight="1" x14ac:dyDescent="0.15">
      <c r="A11" s="880"/>
      <c r="B11" s="883"/>
      <c r="C11" s="608" t="s">
        <v>414</v>
      </c>
      <c r="D11" s="609">
        <v>1243</v>
      </c>
      <c r="E11" s="596" t="s">
        <v>414</v>
      </c>
      <c r="F11" s="596">
        <v>596</v>
      </c>
      <c r="G11" s="596" t="s">
        <v>414</v>
      </c>
      <c r="H11" s="597"/>
      <c r="I11" s="598" t="s">
        <v>414</v>
      </c>
      <c r="J11" s="596" t="s">
        <v>414</v>
      </c>
      <c r="K11" s="596" t="s">
        <v>414</v>
      </c>
      <c r="L11" s="611" t="s">
        <v>414</v>
      </c>
      <c r="M11" s="596" t="s">
        <v>414</v>
      </c>
      <c r="N11" s="599" t="s">
        <v>414</v>
      </c>
      <c r="O11" s="600"/>
    </row>
    <row r="12" spans="1:15" s="583" customFormat="1" ht="20.100000000000001" customHeight="1" x14ac:dyDescent="0.15">
      <c r="A12" s="880"/>
      <c r="B12" s="883"/>
      <c r="C12" s="601" t="s">
        <v>414</v>
      </c>
      <c r="D12" s="602" t="s">
        <v>422</v>
      </c>
      <c r="E12" s="603" t="s">
        <v>414</v>
      </c>
      <c r="F12" s="603" t="s">
        <v>456</v>
      </c>
      <c r="G12" s="603" t="s">
        <v>414</v>
      </c>
      <c r="H12" s="612" t="s">
        <v>414</v>
      </c>
      <c r="I12" s="605" t="s">
        <v>414</v>
      </c>
      <c r="J12" s="603" t="s">
        <v>414</v>
      </c>
      <c r="K12" s="603" t="s">
        <v>414</v>
      </c>
      <c r="L12" s="603" t="s">
        <v>414</v>
      </c>
      <c r="M12" s="603" t="s">
        <v>414</v>
      </c>
      <c r="N12" s="606" t="s">
        <v>414</v>
      </c>
      <c r="O12" s="607"/>
    </row>
    <row r="13" spans="1:15" s="583" customFormat="1" ht="20.100000000000001" customHeight="1" x14ac:dyDescent="0.15">
      <c r="A13" s="880"/>
      <c r="B13" s="883"/>
      <c r="C13" s="608" t="s">
        <v>414</v>
      </c>
      <c r="D13" s="609">
        <v>1157</v>
      </c>
      <c r="E13" s="596" t="s">
        <v>414</v>
      </c>
      <c r="F13" s="596">
        <v>543</v>
      </c>
      <c r="G13" s="596" t="s">
        <v>414</v>
      </c>
      <c r="H13" s="597" t="s">
        <v>414</v>
      </c>
      <c r="I13" s="598" t="s">
        <v>414</v>
      </c>
      <c r="J13" s="596" t="s">
        <v>414</v>
      </c>
      <c r="K13" s="596" t="s">
        <v>414</v>
      </c>
      <c r="L13" s="611" t="s">
        <v>414</v>
      </c>
      <c r="M13" s="596" t="s">
        <v>414</v>
      </c>
      <c r="N13" s="599" t="s">
        <v>414</v>
      </c>
      <c r="O13" s="600"/>
    </row>
    <row r="14" spans="1:15" s="583" customFormat="1" ht="20.100000000000001" customHeight="1" x14ac:dyDescent="0.15">
      <c r="A14" s="880"/>
      <c r="B14" s="883"/>
      <c r="C14" s="601" t="s">
        <v>414</v>
      </c>
      <c r="D14" s="602" t="s">
        <v>414</v>
      </c>
      <c r="E14" s="603" t="s">
        <v>414</v>
      </c>
      <c r="F14" s="603" t="s">
        <v>418</v>
      </c>
      <c r="G14" s="603" t="s">
        <v>414</v>
      </c>
      <c r="H14" s="612" t="s">
        <v>414</v>
      </c>
      <c r="I14" s="605" t="s">
        <v>414</v>
      </c>
      <c r="J14" s="603" t="s">
        <v>414</v>
      </c>
      <c r="K14" s="603" t="s">
        <v>414</v>
      </c>
      <c r="L14" s="603" t="s">
        <v>414</v>
      </c>
      <c r="M14" s="603" t="s">
        <v>414</v>
      </c>
      <c r="N14" s="606" t="s">
        <v>414</v>
      </c>
      <c r="O14" s="607"/>
    </row>
    <row r="15" spans="1:15" s="583" customFormat="1" ht="20.100000000000001" customHeight="1" x14ac:dyDescent="0.15">
      <c r="A15" s="880"/>
      <c r="B15" s="883"/>
      <c r="C15" s="608" t="s">
        <v>414</v>
      </c>
      <c r="D15" s="609" t="s">
        <v>414</v>
      </c>
      <c r="E15" s="596" t="s">
        <v>414</v>
      </c>
      <c r="F15" s="596">
        <v>289</v>
      </c>
      <c r="G15" s="596" t="s">
        <v>414</v>
      </c>
      <c r="H15" s="597" t="s">
        <v>414</v>
      </c>
      <c r="I15" s="598" t="s">
        <v>414</v>
      </c>
      <c r="J15" s="596" t="s">
        <v>414</v>
      </c>
      <c r="K15" s="596" t="s">
        <v>414</v>
      </c>
      <c r="L15" s="611" t="s">
        <v>414</v>
      </c>
      <c r="M15" s="596" t="s">
        <v>414</v>
      </c>
      <c r="N15" s="599" t="s">
        <v>414</v>
      </c>
      <c r="O15" s="600"/>
    </row>
    <row r="16" spans="1:15" s="583" customFormat="1" ht="20.100000000000001" customHeight="1" x14ac:dyDescent="0.15">
      <c r="A16" s="880"/>
      <c r="B16" s="883"/>
      <c r="C16" s="601" t="s">
        <v>414</v>
      </c>
      <c r="D16" s="602" t="s">
        <v>414</v>
      </c>
      <c r="E16" s="603" t="s">
        <v>414</v>
      </c>
      <c r="F16" s="603" t="s">
        <v>449</v>
      </c>
      <c r="G16" s="603" t="s">
        <v>414</v>
      </c>
      <c r="H16" s="612" t="s">
        <v>414</v>
      </c>
      <c r="I16" s="605" t="s">
        <v>414</v>
      </c>
      <c r="J16" s="603" t="s">
        <v>414</v>
      </c>
      <c r="K16" s="603" t="s">
        <v>414</v>
      </c>
      <c r="L16" s="603" t="s">
        <v>414</v>
      </c>
      <c r="M16" s="603" t="s">
        <v>414</v>
      </c>
      <c r="N16" s="606" t="s">
        <v>414</v>
      </c>
      <c r="O16" s="607"/>
    </row>
    <row r="17" spans="1:15" s="583" customFormat="1" ht="20.100000000000001" customHeight="1" x14ac:dyDescent="0.15">
      <c r="A17" s="880"/>
      <c r="B17" s="883"/>
      <c r="C17" s="608" t="s">
        <v>414</v>
      </c>
      <c r="D17" s="609" t="s">
        <v>414</v>
      </c>
      <c r="E17" s="596" t="s">
        <v>414</v>
      </c>
      <c r="F17" s="596">
        <v>463</v>
      </c>
      <c r="G17" s="596" t="s">
        <v>414</v>
      </c>
      <c r="H17" s="597" t="s">
        <v>414</v>
      </c>
      <c r="I17" s="598" t="s">
        <v>414</v>
      </c>
      <c r="J17" s="596" t="s">
        <v>414</v>
      </c>
      <c r="K17" s="596" t="s">
        <v>414</v>
      </c>
      <c r="L17" s="611" t="s">
        <v>414</v>
      </c>
      <c r="M17" s="596" t="s">
        <v>414</v>
      </c>
      <c r="N17" s="599" t="s">
        <v>414</v>
      </c>
      <c r="O17" s="600"/>
    </row>
    <row r="18" spans="1:15" s="583" customFormat="1" ht="20.100000000000001" customHeight="1" x14ac:dyDescent="0.15">
      <c r="A18" s="880"/>
      <c r="B18" s="883"/>
      <c r="C18" s="601" t="s">
        <v>414</v>
      </c>
      <c r="D18" s="602" t="s">
        <v>414</v>
      </c>
      <c r="E18" s="603" t="s">
        <v>414</v>
      </c>
      <c r="F18" s="603" t="s">
        <v>414</v>
      </c>
      <c r="G18" s="603" t="s">
        <v>414</v>
      </c>
      <c r="H18" s="612" t="s">
        <v>414</v>
      </c>
      <c r="I18" s="605" t="s">
        <v>414</v>
      </c>
      <c r="J18" s="603" t="s">
        <v>414</v>
      </c>
      <c r="K18" s="603" t="s">
        <v>414</v>
      </c>
      <c r="L18" s="603" t="s">
        <v>414</v>
      </c>
      <c r="M18" s="603" t="s">
        <v>414</v>
      </c>
      <c r="N18" s="606" t="s">
        <v>414</v>
      </c>
      <c r="O18" s="607"/>
    </row>
    <row r="19" spans="1:15" s="583" customFormat="1" ht="20.100000000000001" customHeight="1" x14ac:dyDescent="0.15">
      <c r="A19" s="880"/>
      <c r="B19" s="883"/>
      <c r="C19" s="608" t="s">
        <v>414</v>
      </c>
      <c r="D19" s="609" t="s">
        <v>414</v>
      </c>
      <c r="E19" s="596" t="s">
        <v>414</v>
      </c>
      <c r="F19" s="596" t="s">
        <v>414</v>
      </c>
      <c r="G19" s="596" t="s">
        <v>414</v>
      </c>
      <c r="H19" s="597" t="s">
        <v>414</v>
      </c>
      <c r="I19" s="598" t="s">
        <v>414</v>
      </c>
      <c r="J19" s="596" t="s">
        <v>414</v>
      </c>
      <c r="K19" s="596" t="s">
        <v>414</v>
      </c>
      <c r="L19" s="611" t="s">
        <v>414</v>
      </c>
      <c r="M19" s="596" t="s">
        <v>414</v>
      </c>
      <c r="N19" s="599" t="s">
        <v>414</v>
      </c>
      <c r="O19" s="600"/>
    </row>
    <row r="20" spans="1:15" s="583" customFormat="1" ht="20.100000000000001" customHeight="1" x14ac:dyDescent="0.15">
      <c r="A20" s="880"/>
      <c r="B20" s="883"/>
      <c r="C20" s="601" t="s">
        <v>414</v>
      </c>
      <c r="D20" s="602" t="s">
        <v>414</v>
      </c>
      <c r="E20" s="603" t="s">
        <v>414</v>
      </c>
      <c r="F20" s="603" t="s">
        <v>414</v>
      </c>
      <c r="G20" s="603" t="s">
        <v>414</v>
      </c>
      <c r="H20" s="612" t="s">
        <v>414</v>
      </c>
      <c r="I20" s="605" t="s">
        <v>414</v>
      </c>
      <c r="J20" s="603" t="s">
        <v>414</v>
      </c>
      <c r="K20" s="603" t="s">
        <v>414</v>
      </c>
      <c r="L20" s="603" t="s">
        <v>414</v>
      </c>
      <c r="M20" s="603" t="s">
        <v>414</v>
      </c>
      <c r="N20" s="606" t="s">
        <v>414</v>
      </c>
      <c r="O20" s="607"/>
    </row>
    <row r="21" spans="1:15" s="583" customFormat="1" ht="20.100000000000001" customHeight="1" x14ac:dyDescent="0.15">
      <c r="A21" s="880"/>
      <c r="B21" s="883"/>
      <c r="C21" s="608" t="s">
        <v>414</v>
      </c>
      <c r="D21" s="609" t="s">
        <v>414</v>
      </c>
      <c r="E21" s="596" t="s">
        <v>414</v>
      </c>
      <c r="F21" s="596" t="s">
        <v>414</v>
      </c>
      <c r="G21" s="596" t="s">
        <v>414</v>
      </c>
      <c r="H21" s="597" t="s">
        <v>414</v>
      </c>
      <c r="I21" s="598" t="s">
        <v>414</v>
      </c>
      <c r="J21" s="596" t="s">
        <v>414</v>
      </c>
      <c r="K21" s="596" t="s">
        <v>414</v>
      </c>
      <c r="L21" s="611" t="s">
        <v>414</v>
      </c>
      <c r="M21" s="596" t="s">
        <v>414</v>
      </c>
      <c r="N21" s="599" t="s">
        <v>414</v>
      </c>
      <c r="O21" s="600"/>
    </row>
    <row r="22" spans="1:15" s="583" customFormat="1" ht="20.100000000000001" customHeight="1" x14ac:dyDescent="0.15">
      <c r="A22" s="880"/>
      <c r="B22" s="883"/>
      <c r="C22" s="601" t="s">
        <v>414</v>
      </c>
      <c r="D22" s="602" t="s">
        <v>414</v>
      </c>
      <c r="E22" s="603" t="s">
        <v>414</v>
      </c>
      <c r="F22" s="603" t="s">
        <v>414</v>
      </c>
      <c r="G22" s="603" t="s">
        <v>414</v>
      </c>
      <c r="H22" s="612" t="s">
        <v>414</v>
      </c>
      <c r="I22" s="605" t="s">
        <v>414</v>
      </c>
      <c r="J22" s="603" t="s">
        <v>414</v>
      </c>
      <c r="K22" s="603" t="s">
        <v>414</v>
      </c>
      <c r="L22" s="603" t="s">
        <v>414</v>
      </c>
      <c r="M22" s="603" t="s">
        <v>414</v>
      </c>
      <c r="N22" s="606" t="s">
        <v>414</v>
      </c>
      <c r="O22" s="607"/>
    </row>
    <row r="23" spans="1:15" s="583" customFormat="1" ht="20.100000000000001" customHeight="1" x14ac:dyDescent="0.15">
      <c r="A23" s="880"/>
      <c r="B23" s="883"/>
      <c r="C23" s="608" t="s">
        <v>414</v>
      </c>
      <c r="D23" s="609" t="s">
        <v>414</v>
      </c>
      <c r="E23" s="596" t="s">
        <v>414</v>
      </c>
      <c r="F23" s="596" t="s">
        <v>414</v>
      </c>
      <c r="G23" s="596" t="s">
        <v>414</v>
      </c>
      <c r="H23" s="597" t="s">
        <v>414</v>
      </c>
      <c r="I23" s="598" t="s">
        <v>414</v>
      </c>
      <c r="J23" s="596" t="s">
        <v>414</v>
      </c>
      <c r="K23" s="596" t="s">
        <v>414</v>
      </c>
      <c r="L23" s="611" t="s">
        <v>414</v>
      </c>
      <c r="M23" s="596" t="s">
        <v>414</v>
      </c>
      <c r="N23" s="599" t="s">
        <v>414</v>
      </c>
      <c r="O23" s="600"/>
    </row>
    <row r="24" spans="1:15" s="583" customFormat="1" ht="20.100000000000001" customHeight="1" x14ac:dyDescent="0.15">
      <c r="A24" s="880"/>
      <c r="B24" s="883"/>
      <c r="C24" s="601" t="s">
        <v>414</v>
      </c>
      <c r="D24" s="602" t="s">
        <v>414</v>
      </c>
      <c r="E24" s="603" t="s">
        <v>414</v>
      </c>
      <c r="F24" s="603" t="s">
        <v>414</v>
      </c>
      <c r="G24" s="603" t="s">
        <v>414</v>
      </c>
      <c r="H24" s="612" t="s">
        <v>414</v>
      </c>
      <c r="I24" s="605" t="s">
        <v>414</v>
      </c>
      <c r="J24" s="603" t="s">
        <v>414</v>
      </c>
      <c r="K24" s="603" t="s">
        <v>414</v>
      </c>
      <c r="L24" s="603" t="s">
        <v>414</v>
      </c>
      <c r="M24" s="603" t="s">
        <v>414</v>
      </c>
      <c r="N24" s="606" t="s">
        <v>414</v>
      </c>
      <c r="O24" s="607"/>
    </row>
    <row r="25" spans="1:15" s="583" customFormat="1" ht="20.100000000000001" customHeight="1" x14ac:dyDescent="0.15">
      <c r="A25" s="880"/>
      <c r="B25" s="883"/>
      <c r="C25" s="608" t="s">
        <v>414</v>
      </c>
      <c r="D25" s="609" t="s">
        <v>414</v>
      </c>
      <c r="E25" s="596" t="s">
        <v>414</v>
      </c>
      <c r="F25" s="596" t="s">
        <v>414</v>
      </c>
      <c r="G25" s="596" t="s">
        <v>414</v>
      </c>
      <c r="H25" s="597" t="s">
        <v>414</v>
      </c>
      <c r="I25" s="598" t="s">
        <v>414</v>
      </c>
      <c r="J25" s="596" t="s">
        <v>414</v>
      </c>
      <c r="K25" s="596" t="s">
        <v>414</v>
      </c>
      <c r="L25" s="611" t="s">
        <v>414</v>
      </c>
      <c r="M25" s="596" t="s">
        <v>414</v>
      </c>
      <c r="N25" s="599" t="s">
        <v>414</v>
      </c>
      <c r="O25" s="600"/>
    </row>
    <row r="26" spans="1:15" s="583" customFormat="1" ht="20.100000000000001" customHeight="1" x14ac:dyDescent="0.15">
      <c r="A26" s="880"/>
      <c r="B26" s="883"/>
      <c r="C26" s="601" t="s">
        <v>414</v>
      </c>
      <c r="D26" s="602" t="s">
        <v>414</v>
      </c>
      <c r="E26" s="603" t="s">
        <v>414</v>
      </c>
      <c r="F26" s="603" t="s">
        <v>414</v>
      </c>
      <c r="G26" s="603" t="s">
        <v>414</v>
      </c>
      <c r="H26" s="612" t="s">
        <v>414</v>
      </c>
      <c r="I26" s="605" t="s">
        <v>414</v>
      </c>
      <c r="J26" s="603" t="s">
        <v>414</v>
      </c>
      <c r="K26" s="603" t="s">
        <v>414</v>
      </c>
      <c r="L26" s="603" t="s">
        <v>414</v>
      </c>
      <c r="M26" s="603" t="s">
        <v>414</v>
      </c>
      <c r="N26" s="606" t="s">
        <v>414</v>
      </c>
      <c r="O26" s="607"/>
    </row>
    <row r="27" spans="1:15" s="583" customFormat="1" ht="20.100000000000001" customHeight="1" x14ac:dyDescent="0.15">
      <c r="A27" s="880"/>
      <c r="B27" s="883"/>
      <c r="C27" s="608" t="s">
        <v>414</v>
      </c>
      <c r="D27" s="609" t="s">
        <v>414</v>
      </c>
      <c r="E27" s="596" t="s">
        <v>414</v>
      </c>
      <c r="F27" s="596" t="s">
        <v>414</v>
      </c>
      <c r="G27" s="596" t="s">
        <v>414</v>
      </c>
      <c r="H27" s="597" t="s">
        <v>414</v>
      </c>
      <c r="I27" s="598" t="s">
        <v>414</v>
      </c>
      <c r="J27" s="596" t="s">
        <v>414</v>
      </c>
      <c r="K27" s="596" t="s">
        <v>414</v>
      </c>
      <c r="L27" s="611" t="s">
        <v>414</v>
      </c>
      <c r="M27" s="596" t="s">
        <v>414</v>
      </c>
      <c r="N27" s="599" t="s">
        <v>414</v>
      </c>
      <c r="O27" s="600"/>
    </row>
    <row r="28" spans="1:15" s="583" customFormat="1" ht="20.100000000000001" customHeight="1" x14ac:dyDescent="0.15">
      <c r="A28" s="880"/>
      <c r="B28" s="883"/>
      <c r="C28" s="601" t="s">
        <v>414</v>
      </c>
      <c r="D28" s="602" t="s">
        <v>414</v>
      </c>
      <c r="E28" s="603" t="s">
        <v>414</v>
      </c>
      <c r="F28" s="603" t="s">
        <v>414</v>
      </c>
      <c r="G28" s="603" t="s">
        <v>414</v>
      </c>
      <c r="H28" s="612" t="s">
        <v>414</v>
      </c>
      <c r="I28" s="605" t="s">
        <v>414</v>
      </c>
      <c r="J28" s="603" t="s">
        <v>414</v>
      </c>
      <c r="K28" s="603" t="s">
        <v>414</v>
      </c>
      <c r="L28" s="603" t="s">
        <v>414</v>
      </c>
      <c r="M28" s="603" t="s">
        <v>414</v>
      </c>
      <c r="N28" s="606" t="s">
        <v>414</v>
      </c>
      <c r="O28" s="607"/>
    </row>
    <row r="29" spans="1:15" s="583" customFormat="1" ht="20.100000000000001" customHeight="1" x14ac:dyDescent="0.15">
      <c r="A29" s="880"/>
      <c r="B29" s="883"/>
      <c r="C29" s="608" t="s">
        <v>414</v>
      </c>
      <c r="D29" s="609" t="s">
        <v>414</v>
      </c>
      <c r="E29" s="596" t="s">
        <v>414</v>
      </c>
      <c r="F29" s="596" t="s">
        <v>414</v>
      </c>
      <c r="G29" s="596" t="s">
        <v>414</v>
      </c>
      <c r="H29" s="597" t="s">
        <v>414</v>
      </c>
      <c r="I29" s="598" t="s">
        <v>414</v>
      </c>
      <c r="J29" s="596" t="s">
        <v>414</v>
      </c>
      <c r="K29" s="596" t="s">
        <v>414</v>
      </c>
      <c r="L29" s="611" t="s">
        <v>414</v>
      </c>
      <c r="M29" s="596" t="s">
        <v>414</v>
      </c>
      <c r="N29" s="599" t="s">
        <v>414</v>
      </c>
      <c r="O29" s="600"/>
    </row>
    <row r="30" spans="1:15" s="583" customFormat="1" ht="20.100000000000001" customHeight="1" x14ac:dyDescent="0.15">
      <c r="A30" s="880"/>
      <c r="B30" s="883"/>
      <c r="C30" s="601" t="s">
        <v>414</v>
      </c>
      <c r="D30" s="602" t="s">
        <v>414</v>
      </c>
      <c r="E30" s="603" t="s">
        <v>414</v>
      </c>
      <c r="F30" s="603" t="s">
        <v>414</v>
      </c>
      <c r="G30" s="603" t="s">
        <v>414</v>
      </c>
      <c r="H30" s="612" t="s">
        <v>414</v>
      </c>
      <c r="I30" s="605" t="s">
        <v>414</v>
      </c>
      <c r="J30" s="603" t="s">
        <v>414</v>
      </c>
      <c r="K30" s="603" t="s">
        <v>414</v>
      </c>
      <c r="L30" s="603" t="s">
        <v>414</v>
      </c>
      <c r="M30" s="603" t="s">
        <v>414</v>
      </c>
      <c r="N30" s="606" t="s">
        <v>414</v>
      </c>
      <c r="O30" s="607"/>
    </row>
    <row r="31" spans="1:15" s="583" customFormat="1" ht="20.100000000000001" customHeight="1" x14ac:dyDescent="0.15">
      <c r="A31" s="880"/>
      <c r="B31" s="883"/>
      <c r="C31" s="608" t="s">
        <v>414</v>
      </c>
      <c r="D31" s="609" t="s">
        <v>414</v>
      </c>
      <c r="E31" s="596" t="s">
        <v>414</v>
      </c>
      <c r="F31" s="596" t="s">
        <v>414</v>
      </c>
      <c r="G31" s="596" t="s">
        <v>414</v>
      </c>
      <c r="H31" s="597" t="s">
        <v>414</v>
      </c>
      <c r="I31" s="598" t="s">
        <v>414</v>
      </c>
      <c r="J31" s="596" t="s">
        <v>414</v>
      </c>
      <c r="K31" s="596" t="s">
        <v>414</v>
      </c>
      <c r="L31" s="611" t="s">
        <v>414</v>
      </c>
      <c r="M31" s="596" t="s">
        <v>414</v>
      </c>
      <c r="N31" s="599" t="s">
        <v>414</v>
      </c>
      <c r="O31" s="600"/>
    </row>
    <row r="32" spans="1:15" s="583" customFormat="1" ht="20.100000000000001" customHeight="1" x14ac:dyDescent="0.15">
      <c r="A32" s="880"/>
      <c r="B32" s="883"/>
      <c r="C32" s="613" t="s">
        <v>414</v>
      </c>
      <c r="D32" s="614" t="s">
        <v>414</v>
      </c>
      <c r="E32" s="615" t="s">
        <v>414</v>
      </c>
      <c r="F32" s="615" t="s">
        <v>414</v>
      </c>
      <c r="G32" s="615" t="s">
        <v>414</v>
      </c>
      <c r="H32" s="616" t="s">
        <v>414</v>
      </c>
      <c r="I32" s="617" t="s">
        <v>414</v>
      </c>
      <c r="J32" s="615" t="s">
        <v>414</v>
      </c>
      <c r="K32" s="615" t="s">
        <v>414</v>
      </c>
      <c r="L32" s="618" t="s">
        <v>414</v>
      </c>
      <c r="M32" s="615" t="s">
        <v>414</v>
      </c>
      <c r="N32" s="619" t="s">
        <v>414</v>
      </c>
      <c r="O32" s="620"/>
    </row>
    <row r="33" spans="1:15" s="583" customFormat="1" ht="20.100000000000001" customHeight="1" x14ac:dyDescent="0.15">
      <c r="A33" s="880"/>
      <c r="B33" s="884"/>
      <c r="C33" s="613" t="s">
        <v>414</v>
      </c>
      <c r="D33" s="614" t="s">
        <v>414</v>
      </c>
      <c r="E33" s="615" t="s">
        <v>414</v>
      </c>
      <c r="F33" s="615" t="s">
        <v>414</v>
      </c>
      <c r="G33" s="615" t="s">
        <v>414</v>
      </c>
      <c r="H33" s="616" t="s">
        <v>414</v>
      </c>
      <c r="I33" s="617" t="s">
        <v>414</v>
      </c>
      <c r="J33" s="615" t="s">
        <v>414</v>
      </c>
      <c r="K33" s="615" t="s">
        <v>414</v>
      </c>
      <c r="L33" s="618" t="s">
        <v>414</v>
      </c>
      <c r="M33" s="615" t="s">
        <v>414</v>
      </c>
      <c r="N33" s="619" t="s">
        <v>414</v>
      </c>
      <c r="O33" s="620"/>
    </row>
    <row r="34" spans="1:15" s="625" customFormat="1" ht="21.75" customHeight="1" thickBot="1" x14ac:dyDescent="0.2">
      <c r="A34" s="881"/>
      <c r="B34" s="621" t="s">
        <v>399</v>
      </c>
      <c r="C34" s="622">
        <v>873</v>
      </c>
      <c r="D34" s="622">
        <v>1302</v>
      </c>
      <c r="E34" s="622">
        <v>1333</v>
      </c>
      <c r="F34" s="622">
        <v>1271</v>
      </c>
      <c r="G34" s="622">
        <v>1610</v>
      </c>
      <c r="H34" s="622">
        <v>1363</v>
      </c>
      <c r="I34" s="622">
        <v>920</v>
      </c>
      <c r="J34" s="622">
        <v>755</v>
      </c>
      <c r="K34" s="623">
        <v>603</v>
      </c>
      <c r="L34" s="623">
        <v>599</v>
      </c>
      <c r="M34" s="623">
        <v>593</v>
      </c>
      <c r="N34" s="623">
        <v>567</v>
      </c>
      <c r="O34" s="624">
        <f>SUM(C34:N34)</f>
        <v>11789</v>
      </c>
    </row>
    <row r="35" spans="1:15" s="627" customFormat="1" ht="20.100000000000001" customHeight="1" x14ac:dyDescent="0.15">
      <c r="A35" s="898" t="s">
        <v>448</v>
      </c>
      <c r="B35" s="887" t="s">
        <v>401</v>
      </c>
      <c r="C35" s="589" t="s">
        <v>458</v>
      </c>
      <c r="D35" s="590" t="s">
        <v>414</v>
      </c>
      <c r="E35" s="590" t="s">
        <v>414</v>
      </c>
      <c r="F35" s="590" t="s">
        <v>414</v>
      </c>
      <c r="G35" s="590" t="s">
        <v>414</v>
      </c>
      <c r="H35" s="591" t="s">
        <v>391</v>
      </c>
      <c r="I35" s="592" t="s">
        <v>414</v>
      </c>
      <c r="J35" s="590" t="s">
        <v>459</v>
      </c>
      <c r="K35" s="590" t="s">
        <v>414</v>
      </c>
      <c r="L35" s="590" t="s">
        <v>461</v>
      </c>
      <c r="M35" s="590" t="s">
        <v>462</v>
      </c>
      <c r="N35" s="593" t="s">
        <v>413</v>
      </c>
      <c r="O35" s="626"/>
    </row>
    <row r="36" spans="1:15" s="627" customFormat="1" ht="20.100000000000001" customHeight="1" x14ac:dyDescent="0.15">
      <c r="A36" s="899"/>
      <c r="B36" s="888"/>
      <c r="C36" s="595">
        <v>355</v>
      </c>
      <c r="D36" s="596" t="s">
        <v>414</v>
      </c>
      <c r="E36" s="596" t="s">
        <v>414</v>
      </c>
      <c r="F36" s="596" t="s">
        <v>414</v>
      </c>
      <c r="G36" s="596" t="s">
        <v>414</v>
      </c>
      <c r="H36" s="597">
        <v>124</v>
      </c>
      <c r="I36" s="598" t="s">
        <v>414</v>
      </c>
      <c r="J36" s="596">
        <v>438</v>
      </c>
      <c r="K36" s="596" t="s">
        <v>414</v>
      </c>
      <c r="L36" s="596">
        <v>1198</v>
      </c>
      <c r="M36" s="596">
        <v>90</v>
      </c>
      <c r="N36" s="599">
        <v>831</v>
      </c>
      <c r="O36" s="628"/>
    </row>
    <row r="37" spans="1:15" s="627" customFormat="1" ht="20.100000000000001" customHeight="1" x14ac:dyDescent="0.15">
      <c r="A37" s="899"/>
      <c r="B37" s="888"/>
      <c r="C37" s="601"/>
      <c r="D37" s="602"/>
      <c r="E37" s="603"/>
      <c r="F37" s="603"/>
      <c r="G37" s="603"/>
      <c r="H37" s="612" t="s">
        <v>460</v>
      </c>
      <c r="I37" s="605" t="s">
        <v>414</v>
      </c>
      <c r="J37" s="603" t="s">
        <v>414</v>
      </c>
      <c r="K37" s="603" t="s">
        <v>414</v>
      </c>
      <c r="L37" s="603" t="s">
        <v>414</v>
      </c>
      <c r="M37" s="603" t="s">
        <v>463</v>
      </c>
      <c r="N37" s="606" t="s">
        <v>414</v>
      </c>
      <c r="O37" s="629"/>
    </row>
    <row r="38" spans="1:15" s="627" customFormat="1" ht="20.100000000000001" customHeight="1" x14ac:dyDescent="0.15">
      <c r="A38" s="899"/>
      <c r="B38" s="888"/>
      <c r="C38" s="608"/>
      <c r="D38" s="609"/>
      <c r="E38" s="596"/>
      <c r="F38" s="596"/>
      <c r="G38" s="596"/>
      <c r="H38" s="597">
        <v>1740</v>
      </c>
      <c r="I38" s="598" t="s">
        <v>414</v>
      </c>
      <c r="J38" s="596" t="s">
        <v>414</v>
      </c>
      <c r="K38" s="596" t="s">
        <v>414</v>
      </c>
      <c r="L38" s="611" t="s">
        <v>414</v>
      </c>
      <c r="M38" s="596">
        <v>272</v>
      </c>
      <c r="N38" s="599" t="s">
        <v>414</v>
      </c>
      <c r="O38" s="628"/>
    </row>
    <row r="39" spans="1:15" s="627" customFormat="1" ht="20.100000000000001" customHeight="1" x14ac:dyDescent="0.15">
      <c r="A39" s="899"/>
      <c r="B39" s="888"/>
      <c r="C39" s="601"/>
      <c r="D39" s="602"/>
      <c r="E39" s="603"/>
      <c r="F39" s="603"/>
      <c r="G39" s="603"/>
      <c r="H39" s="612"/>
      <c r="I39" s="605" t="s">
        <v>414</v>
      </c>
      <c r="J39" s="603" t="s">
        <v>414</v>
      </c>
      <c r="K39" s="603" t="s">
        <v>414</v>
      </c>
      <c r="L39" s="603" t="s">
        <v>414</v>
      </c>
      <c r="M39" s="603" t="s">
        <v>414</v>
      </c>
      <c r="N39" s="606" t="s">
        <v>414</v>
      </c>
      <c r="O39" s="629"/>
    </row>
    <row r="40" spans="1:15" s="627" customFormat="1" ht="20.100000000000001" customHeight="1" x14ac:dyDescent="0.15">
      <c r="A40" s="899"/>
      <c r="B40" s="888"/>
      <c r="C40" s="608"/>
      <c r="D40" s="609"/>
      <c r="E40" s="596"/>
      <c r="F40" s="596"/>
      <c r="G40" s="596"/>
      <c r="H40" s="597"/>
      <c r="I40" s="598" t="s">
        <v>414</v>
      </c>
      <c r="J40" s="596" t="s">
        <v>414</v>
      </c>
      <c r="K40" s="596" t="s">
        <v>414</v>
      </c>
      <c r="L40" s="611" t="s">
        <v>414</v>
      </c>
      <c r="M40" s="596" t="s">
        <v>414</v>
      </c>
      <c r="N40" s="599" t="s">
        <v>414</v>
      </c>
      <c r="O40" s="628"/>
    </row>
    <row r="41" spans="1:15" s="627" customFormat="1" ht="20.100000000000001" customHeight="1" x14ac:dyDescent="0.15">
      <c r="A41" s="899"/>
      <c r="B41" s="888"/>
      <c r="C41" s="601"/>
      <c r="D41" s="602"/>
      <c r="E41" s="603"/>
      <c r="F41" s="603"/>
      <c r="G41" s="603"/>
      <c r="H41" s="612"/>
      <c r="I41" s="605" t="s">
        <v>414</v>
      </c>
      <c r="J41" s="603" t="s">
        <v>414</v>
      </c>
      <c r="K41" s="603" t="s">
        <v>414</v>
      </c>
      <c r="L41" s="603" t="s">
        <v>414</v>
      </c>
      <c r="M41" s="603" t="s">
        <v>414</v>
      </c>
      <c r="N41" s="630" t="s">
        <v>414</v>
      </c>
      <c r="O41" s="629"/>
    </row>
    <row r="42" spans="1:15" s="627" customFormat="1" ht="20.100000000000001" customHeight="1" x14ac:dyDescent="0.15">
      <c r="A42" s="899"/>
      <c r="B42" s="888"/>
      <c r="C42" s="608"/>
      <c r="D42" s="609"/>
      <c r="E42" s="596"/>
      <c r="F42" s="596"/>
      <c r="G42" s="596"/>
      <c r="H42" s="597"/>
      <c r="I42" s="598" t="s">
        <v>414</v>
      </c>
      <c r="J42" s="596" t="s">
        <v>414</v>
      </c>
      <c r="K42" s="596" t="s">
        <v>414</v>
      </c>
      <c r="L42" s="611" t="s">
        <v>414</v>
      </c>
      <c r="M42" s="596" t="s">
        <v>414</v>
      </c>
      <c r="N42" s="631" t="s">
        <v>414</v>
      </c>
      <c r="O42" s="628"/>
    </row>
    <row r="43" spans="1:15" s="627" customFormat="1" ht="20.100000000000001" customHeight="1" x14ac:dyDescent="0.15">
      <c r="A43" s="899"/>
      <c r="B43" s="888"/>
      <c r="C43" s="601" t="s">
        <v>414</v>
      </c>
      <c r="D43" s="602" t="s">
        <v>414</v>
      </c>
      <c r="E43" s="603" t="s">
        <v>414</v>
      </c>
      <c r="F43" s="603" t="s">
        <v>414</v>
      </c>
      <c r="G43" s="603" t="s">
        <v>414</v>
      </c>
      <c r="H43" s="612" t="s">
        <v>414</v>
      </c>
      <c r="I43" s="605" t="s">
        <v>414</v>
      </c>
      <c r="J43" s="603" t="s">
        <v>414</v>
      </c>
      <c r="K43" s="603" t="s">
        <v>414</v>
      </c>
      <c r="L43" s="603" t="s">
        <v>414</v>
      </c>
      <c r="M43" s="603" t="s">
        <v>414</v>
      </c>
      <c r="N43" s="606" t="s">
        <v>414</v>
      </c>
      <c r="O43" s="629"/>
    </row>
    <row r="44" spans="1:15" s="627" customFormat="1" ht="20.100000000000001" customHeight="1" x14ac:dyDescent="0.15">
      <c r="A44" s="899"/>
      <c r="B44" s="888"/>
      <c r="C44" s="608" t="s">
        <v>414</v>
      </c>
      <c r="D44" s="609" t="s">
        <v>414</v>
      </c>
      <c r="E44" s="596" t="s">
        <v>414</v>
      </c>
      <c r="F44" s="596" t="s">
        <v>414</v>
      </c>
      <c r="G44" s="596"/>
      <c r="H44" s="597" t="s">
        <v>414</v>
      </c>
      <c r="I44" s="598" t="s">
        <v>414</v>
      </c>
      <c r="J44" s="596" t="s">
        <v>414</v>
      </c>
      <c r="K44" s="596" t="s">
        <v>414</v>
      </c>
      <c r="L44" s="611" t="s">
        <v>414</v>
      </c>
      <c r="M44" s="596" t="s">
        <v>414</v>
      </c>
      <c r="N44" s="599" t="s">
        <v>414</v>
      </c>
      <c r="O44" s="628"/>
    </row>
    <row r="45" spans="1:15" s="627" customFormat="1" ht="20.100000000000001" customHeight="1" x14ac:dyDescent="0.15">
      <c r="A45" s="899"/>
      <c r="B45" s="888"/>
      <c r="C45" s="601" t="s">
        <v>414</v>
      </c>
      <c r="D45" s="602" t="s">
        <v>414</v>
      </c>
      <c r="E45" s="603" t="s">
        <v>414</v>
      </c>
      <c r="F45" s="603" t="s">
        <v>414</v>
      </c>
      <c r="G45" s="603" t="s">
        <v>414</v>
      </c>
      <c r="H45" s="612" t="s">
        <v>414</v>
      </c>
      <c r="I45" s="605" t="s">
        <v>414</v>
      </c>
      <c r="J45" s="603" t="s">
        <v>414</v>
      </c>
      <c r="K45" s="603" t="s">
        <v>414</v>
      </c>
      <c r="L45" s="603" t="s">
        <v>414</v>
      </c>
      <c r="M45" s="603" t="s">
        <v>414</v>
      </c>
      <c r="N45" s="606" t="s">
        <v>414</v>
      </c>
      <c r="O45" s="629"/>
    </row>
    <row r="46" spans="1:15" s="627" customFormat="1" ht="20.100000000000001" customHeight="1" x14ac:dyDescent="0.15">
      <c r="A46" s="899"/>
      <c r="B46" s="888"/>
      <c r="C46" s="608" t="s">
        <v>414</v>
      </c>
      <c r="D46" s="609" t="s">
        <v>414</v>
      </c>
      <c r="E46" s="596" t="s">
        <v>414</v>
      </c>
      <c r="F46" s="596" t="s">
        <v>414</v>
      </c>
      <c r="G46" s="596" t="s">
        <v>414</v>
      </c>
      <c r="H46" s="597" t="s">
        <v>414</v>
      </c>
      <c r="I46" s="598" t="s">
        <v>414</v>
      </c>
      <c r="J46" s="596" t="s">
        <v>414</v>
      </c>
      <c r="K46" s="596" t="s">
        <v>414</v>
      </c>
      <c r="L46" s="611" t="s">
        <v>414</v>
      </c>
      <c r="M46" s="596" t="s">
        <v>414</v>
      </c>
      <c r="N46" s="599" t="s">
        <v>414</v>
      </c>
      <c r="O46" s="628"/>
    </row>
    <row r="47" spans="1:15" s="627" customFormat="1" ht="20.100000000000001" customHeight="1" x14ac:dyDescent="0.15">
      <c r="A47" s="899"/>
      <c r="B47" s="888"/>
      <c r="C47" s="601" t="s">
        <v>414</v>
      </c>
      <c r="D47" s="602" t="s">
        <v>414</v>
      </c>
      <c r="E47" s="603" t="s">
        <v>414</v>
      </c>
      <c r="F47" s="603" t="s">
        <v>414</v>
      </c>
      <c r="G47" s="603" t="s">
        <v>414</v>
      </c>
      <c r="H47" s="612" t="s">
        <v>414</v>
      </c>
      <c r="I47" s="605" t="s">
        <v>414</v>
      </c>
      <c r="J47" s="603" t="s">
        <v>414</v>
      </c>
      <c r="K47" s="603" t="s">
        <v>414</v>
      </c>
      <c r="L47" s="603" t="s">
        <v>414</v>
      </c>
      <c r="M47" s="603" t="s">
        <v>414</v>
      </c>
      <c r="N47" s="606" t="s">
        <v>414</v>
      </c>
      <c r="O47" s="629"/>
    </row>
    <row r="48" spans="1:15" s="627" customFormat="1" ht="20.100000000000001" customHeight="1" x14ac:dyDescent="0.15">
      <c r="A48" s="899"/>
      <c r="B48" s="888"/>
      <c r="C48" s="608" t="s">
        <v>414</v>
      </c>
      <c r="D48" s="609" t="s">
        <v>414</v>
      </c>
      <c r="E48" s="596" t="s">
        <v>414</v>
      </c>
      <c r="F48" s="596" t="s">
        <v>414</v>
      </c>
      <c r="G48" s="596" t="s">
        <v>414</v>
      </c>
      <c r="H48" s="597" t="s">
        <v>414</v>
      </c>
      <c r="I48" s="598" t="s">
        <v>414</v>
      </c>
      <c r="J48" s="596" t="s">
        <v>414</v>
      </c>
      <c r="K48" s="596" t="s">
        <v>414</v>
      </c>
      <c r="L48" s="611" t="s">
        <v>414</v>
      </c>
      <c r="M48" s="596" t="s">
        <v>414</v>
      </c>
      <c r="N48" s="599" t="s">
        <v>414</v>
      </c>
      <c r="O48" s="628"/>
    </row>
    <row r="49" spans="1:15" s="627" customFormat="1" ht="20.100000000000001" customHeight="1" x14ac:dyDescent="0.15">
      <c r="A49" s="899"/>
      <c r="B49" s="888"/>
      <c r="C49" s="601" t="s">
        <v>414</v>
      </c>
      <c r="D49" s="602" t="s">
        <v>414</v>
      </c>
      <c r="E49" s="603" t="s">
        <v>414</v>
      </c>
      <c r="F49" s="603" t="s">
        <v>414</v>
      </c>
      <c r="G49" s="603" t="s">
        <v>414</v>
      </c>
      <c r="H49" s="612" t="s">
        <v>414</v>
      </c>
      <c r="I49" s="605" t="s">
        <v>414</v>
      </c>
      <c r="J49" s="603" t="s">
        <v>414</v>
      </c>
      <c r="K49" s="603" t="s">
        <v>414</v>
      </c>
      <c r="L49" s="603" t="s">
        <v>414</v>
      </c>
      <c r="M49" s="603" t="s">
        <v>414</v>
      </c>
      <c r="N49" s="606" t="s">
        <v>414</v>
      </c>
      <c r="O49" s="629"/>
    </row>
    <row r="50" spans="1:15" s="627" customFormat="1" ht="20.100000000000001" customHeight="1" x14ac:dyDescent="0.15">
      <c r="A50" s="899"/>
      <c r="B50" s="888"/>
      <c r="C50" s="608" t="s">
        <v>414</v>
      </c>
      <c r="D50" s="609" t="s">
        <v>414</v>
      </c>
      <c r="E50" s="596" t="s">
        <v>414</v>
      </c>
      <c r="F50" s="596" t="s">
        <v>414</v>
      </c>
      <c r="G50" s="596" t="s">
        <v>414</v>
      </c>
      <c r="H50" s="597" t="s">
        <v>414</v>
      </c>
      <c r="I50" s="598" t="s">
        <v>414</v>
      </c>
      <c r="J50" s="596" t="s">
        <v>414</v>
      </c>
      <c r="K50" s="596" t="s">
        <v>414</v>
      </c>
      <c r="L50" s="611" t="s">
        <v>414</v>
      </c>
      <c r="M50" s="596" t="s">
        <v>414</v>
      </c>
      <c r="N50" s="599" t="s">
        <v>414</v>
      </c>
      <c r="O50" s="628"/>
    </row>
    <row r="51" spans="1:15" s="627" customFormat="1" ht="20.100000000000001" customHeight="1" x14ac:dyDescent="0.15">
      <c r="A51" s="899"/>
      <c r="B51" s="888"/>
      <c r="C51" s="601" t="s">
        <v>414</v>
      </c>
      <c r="D51" s="602" t="s">
        <v>414</v>
      </c>
      <c r="E51" s="603" t="s">
        <v>414</v>
      </c>
      <c r="F51" s="603" t="s">
        <v>414</v>
      </c>
      <c r="G51" s="603" t="s">
        <v>414</v>
      </c>
      <c r="H51" s="612" t="s">
        <v>414</v>
      </c>
      <c r="I51" s="605" t="s">
        <v>414</v>
      </c>
      <c r="J51" s="603" t="s">
        <v>414</v>
      </c>
      <c r="K51" s="603" t="s">
        <v>414</v>
      </c>
      <c r="L51" s="603" t="s">
        <v>414</v>
      </c>
      <c r="M51" s="603" t="s">
        <v>414</v>
      </c>
      <c r="N51" s="606" t="s">
        <v>414</v>
      </c>
      <c r="O51" s="629"/>
    </row>
    <row r="52" spans="1:15" s="627" customFormat="1" ht="20.100000000000001" customHeight="1" x14ac:dyDescent="0.15">
      <c r="A52" s="899"/>
      <c r="B52" s="888"/>
      <c r="C52" s="608" t="s">
        <v>414</v>
      </c>
      <c r="D52" s="609" t="s">
        <v>414</v>
      </c>
      <c r="E52" s="596" t="s">
        <v>414</v>
      </c>
      <c r="F52" s="596" t="s">
        <v>414</v>
      </c>
      <c r="G52" s="596" t="s">
        <v>414</v>
      </c>
      <c r="H52" s="597" t="s">
        <v>414</v>
      </c>
      <c r="I52" s="598" t="s">
        <v>414</v>
      </c>
      <c r="J52" s="596" t="s">
        <v>414</v>
      </c>
      <c r="K52" s="596" t="s">
        <v>414</v>
      </c>
      <c r="L52" s="611" t="s">
        <v>414</v>
      </c>
      <c r="M52" s="596" t="s">
        <v>414</v>
      </c>
      <c r="N52" s="599" t="s">
        <v>414</v>
      </c>
      <c r="O52" s="628"/>
    </row>
    <row r="53" spans="1:15" s="627" customFormat="1" ht="20.100000000000001" customHeight="1" x14ac:dyDescent="0.15">
      <c r="A53" s="899"/>
      <c r="B53" s="888"/>
      <c r="C53" s="601" t="s">
        <v>414</v>
      </c>
      <c r="D53" s="602" t="s">
        <v>414</v>
      </c>
      <c r="E53" s="603" t="s">
        <v>414</v>
      </c>
      <c r="F53" s="603" t="s">
        <v>414</v>
      </c>
      <c r="G53" s="603" t="s">
        <v>414</v>
      </c>
      <c r="H53" s="612" t="s">
        <v>414</v>
      </c>
      <c r="I53" s="605" t="s">
        <v>414</v>
      </c>
      <c r="J53" s="603" t="s">
        <v>414</v>
      </c>
      <c r="K53" s="603" t="s">
        <v>414</v>
      </c>
      <c r="L53" s="603" t="s">
        <v>414</v>
      </c>
      <c r="M53" s="603" t="s">
        <v>414</v>
      </c>
      <c r="N53" s="606" t="s">
        <v>414</v>
      </c>
      <c r="O53" s="629"/>
    </row>
    <row r="54" spans="1:15" s="627" customFormat="1" ht="20.100000000000001" customHeight="1" x14ac:dyDescent="0.15">
      <c r="A54" s="899"/>
      <c r="B54" s="888"/>
      <c r="C54" s="608" t="s">
        <v>414</v>
      </c>
      <c r="D54" s="609" t="s">
        <v>414</v>
      </c>
      <c r="E54" s="596" t="s">
        <v>414</v>
      </c>
      <c r="F54" s="596" t="s">
        <v>414</v>
      </c>
      <c r="G54" s="596" t="s">
        <v>414</v>
      </c>
      <c r="H54" s="597" t="s">
        <v>414</v>
      </c>
      <c r="I54" s="598" t="s">
        <v>414</v>
      </c>
      <c r="J54" s="596" t="s">
        <v>414</v>
      </c>
      <c r="K54" s="596" t="s">
        <v>414</v>
      </c>
      <c r="L54" s="611" t="s">
        <v>414</v>
      </c>
      <c r="M54" s="596" t="s">
        <v>414</v>
      </c>
      <c r="N54" s="599" t="s">
        <v>414</v>
      </c>
      <c r="O54" s="628"/>
    </row>
    <row r="55" spans="1:15" s="627" customFormat="1" ht="20.100000000000001" customHeight="1" x14ac:dyDescent="0.15">
      <c r="A55" s="899"/>
      <c r="B55" s="888"/>
      <c r="C55" s="601" t="s">
        <v>414</v>
      </c>
      <c r="D55" s="602" t="s">
        <v>414</v>
      </c>
      <c r="E55" s="603" t="s">
        <v>414</v>
      </c>
      <c r="F55" s="603" t="s">
        <v>414</v>
      </c>
      <c r="G55" s="603" t="s">
        <v>414</v>
      </c>
      <c r="H55" s="612" t="s">
        <v>414</v>
      </c>
      <c r="I55" s="605" t="s">
        <v>414</v>
      </c>
      <c r="J55" s="603" t="s">
        <v>414</v>
      </c>
      <c r="K55" s="603" t="s">
        <v>414</v>
      </c>
      <c r="L55" s="603" t="s">
        <v>414</v>
      </c>
      <c r="M55" s="603" t="s">
        <v>414</v>
      </c>
      <c r="N55" s="606" t="s">
        <v>414</v>
      </c>
      <c r="O55" s="629"/>
    </row>
    <row r="56" spans="1:15" s="627" customFormat="1" ht="20.100000000000001" customHeight="1" x14ac:dyDescent="0.15">
      <c r="A56" s="899"/>
      <c r="B56" s="888"/>
      <c r="C56" s="608" t="s">
        <v>414</v>
      </c>
      <c r="D56" s="609" t="s">
        <v>414</v>
      </c>
      <c r="E56" s="596" t="s">
        <v>414</v>
      </c>
      <c r="F56" s="596" t="s">
        <v>414</v>
      </c>
      <c r="G56" s="596" t="s">
        <v>414</v>
      </c>
      <c r="H56" s="597" t="s">
        <v>414</v>
      </c>
      <c r="I56" s="598" t="s">
        <v>414</v>
      </c>
      <c r="J56" s="596" t="s">
        <v>414</v>
      </c>
      <c r="K56" s="596" t="s">
        <v>414</v>
      </c>
      <c r="L56" s="611" t="s">
        <v>414</v>
      </c>
      <c r="M56" s="596" t="s">
        <v>414</v>
      </c>
      <c r="N56" s="599" t="s">
        <v>414</v>
      </c>
      <c r="O56" s="628"/>
    </row>
    <row r="57" spans="1:15" s="627" customFormat="1" ht="20.100000000000001" customHeight="1" x14ac:dyDescent="0.15">
      <c r="A57" s="899"/>
      <c r="B57" s="888"/>
      <c r="C57" s="601" t="s">
        <v>414</v>
      </c>
      <c r="D57" s="602" t="s">
        <v>414</v>
      </c>
      <c r="E57" s="603" t="s">
        <v>414</v>
      </c>
      <c r="F57" s="603" t="s">
        <v>414</v>
      </c>
      <c r="G57" s="603" t="s">
        <v>414</v>
      </c>
      <c r="H57" s="612" t="s">
        <v>414</v>
      </c>
      <c r="I57" s="605" t="s">
        <v>414</v>
      </c>
      <c r="J57" s="603" t="s">
        <v>414</v>
      </c>
      <c r="K57" s="603" t="s">
        <v>414</v>
      </c>
      <c r="L57" s="603" t="s">
        <v>414</v>
      </c>
      <c r="M57" s="603" t="s">
        <v>414</v>
      </c>
      <c r="N57" s="606" t="s">
        <v>414</v>
      </c>
      <c r="O57" s="629"/>
    </row>
    <row r="58" spans="1:15" s="627" customFormat="1" ht="20.100000000000001" customHeight="1" x14ac:dyDescent="0.15">
      <c r="A58" s="899"/>
      <c r="B58" s="888"/>
      <c r="C58" s="608" t="s">
        <v>414</v>
      </c>
      <c r="D58" s="609" t="s">
        <v>414</v>
      </c>
      <c r="E58" s="596" t="s">
        <v>414</v>
      </c>
      <c r="F58" s="596" t="s">
        <v>414</v>
      </c>
      <c r="G58" s="596" t="s">
        <v>414</v>
      </c>
      <c r="H58" s="597" t="s">
        <v>414</v>
      </c>
      <c r="I58" s="598" t="s">
        <v>414</v>
      </c>
      <c r="J58" s="596" t="s">
        <v>414</v>
      </c>
      <c r="K58" s="596" t="s">
        <v>414</v>
      </c>
      <c r="L58" s="611" t="s">
        <v>414</v>
      </c>
      <c r="M58" s="596" t="s">
        <v>414</v>
      </c>
      <c r="N58" s="599" t="s">
        <v>414</v>
      </c>
      <c r="O58" s="628"/>
    </row>
    <row r="59" spans="1:15" s="625" customFormat="1" ht="20.100000000000001" customHeight="1" x14ac:dyDescent="0.15">
      <c r="A59" s="899"/>
      <c r="B59" s="888"/>
      <c r="C59" s="601" t="s">
        <v>414</v>
      </c>
      <c r="D59" s="602" t="s">
        <v>414</v>
      </c>
      <c r="E59" s="603" t="s">
        <v>414</v>
      </c>
      <c r="F59" s="603" t="s">
        <v>414</v>
      </c>
      <c r="G59" s="603" t="s">
        <v>414</v>
      </c>
      <c r="H59" s="612" t="s">
        <v>414</v>
      </c>
      <c r="I59" s="605" t="s">
        <v>414</v>
      </c>
      <c r="J59" s="603" t="s">
        <v>414</v>
      </c>
      <c r="K59" s="603" t="s">
        <v>414</v>
      </c>
      <c r="L59" s="603" t="s">
        <v>414</v>
      </c>
      <c r="M59" s="603" t="s">
        <v>414</v>
      </c>
      <c r="N59" s="606" t="s">
        <v>414</v>
      </c>
      <c r="O59" s="632"/>
    </row>
    <row r="60" spans="1:15" s="625" customFormat="1" ht="20.100000000000001" customHeight="1" x14ac:dyDescent="0.15">
      <c r="A60" s="899"/>
      <c r="B60" s="888"/>
      <c r="C60" s="608" t="s">
        <v>414</v>
      </c>
      <c r="D60" s="609" t="s">
        <v>414</v>
      </c>
      <c r="E60" s="596" t="s">
        <v>414</v>
      </c>
      <c r="F60" s="596" t="s">
        <v>414</v>
      </c>
      <c r="G60" s="596" t="s">
        <v>414</v>
      </c>
      <c r="H60" s="597" t="s">
        <v>414</v>
      </c>
      <c r="I60" s="598" t="s">
        <v>414</v>
      </c>
      <c r="J60" s="596" t="s">
        <v>414</v>
      </c>
      <c r="K60" s="596" t="s">
        <v>414</v>
      </c>
      <c r="L60" s="611" t="s">
        <v>414</v>
      </c>
      <c r="M60" s="596" t="s">
        <v>414</v>
      </c>
      <c r="N60" s="599" t="s">
        <v>414</v>
      </c>
      <c r="O60" s="633"/>
    </row>
    <row r="61" spans="1:15" s="625" customFormat="1" ht="21" customHeight="1" thickBot="1" x14ac:dyDescent="0.2">
      <c r="A61" s="899"/>
      <c r="B61" s="634" t="s">
        <v>402</v>
      </c>
      <c r="C61" s="635">
        <f>SUM(C35:C60)</f>
        <v>355</v>
      </c>
      <c r="D61" s="636">
        <f t="shared" ref="D61:N61" si="1">SUM(D35:D60)</f>
        <v>0</v>
      </c>
      <c r="E61" s="636">
        <f t="shared" si="1"/>
        <v>0</v>
      </c>
      <c r="F61" s="636">
        <f t="shared" si="1"/>
        <v>0</v>
      </c>
      <c r="G61" s="636">
        <f t="shared" si="1"/>
        <v>0</v>
      </c>
      <c r="H61" s="637">
        <f>SUM(H35:H60)-H38</f>
        <v>124</v>
      </c>
      <c r="I61" s="638">
        <f t="shared" si="1"/>
        <v>0</v>
      </c>
      <c r="J61" s="636">
        <f t="shared" si="1"/>
        <v>438</v>
      </c>
      <c r="K61" s="636">
        <f t="shared" si="1"/>
        <v>0</v>
      </c>
      <c r="L61" s="636">
        <f t="shared" si="1"/>
        <v>1198</v>
      </c>
      <c r="M61" s="636">
        <f t="shared" si="1"/>
        <v>362</v>
      </c>
      <c r="N61" s="639">
        <f t="shared" si="1"/>
        <v>831</v>
      </c>
      <c r="O61" s="640">
        <f>SUM(C61:N61)</f>
        <v>3308</v>
      </c>
    </row>
    <row r="64" spans="1:15" ht="27" x14ac:dyDescent="0.15">
      <c r="A64" s="576" t="s">
        <v>464</v>
      </c>
      <c r="B64" s="576"/>
      <c r="C64" s="576"/>
      <c r="D64" s="576"/>
      <c r="E64" s="576"/>
      <c r="F64" s="576"/>
      <c r="G64" s="576"/>
      <c r="H64" s="576"/>
      <c r="I64" s="576"/>
      <c r="J64" s="576"/>
      <c r="K64" s="576"/>
      <c r="L64" s="576"/>
      <c r="M64" s="576"/>
      <c r="N64" s="576"/>
      <c r="O64" s="576"/>
    </row>
    <row r="65" spans="1:15" ht="27" x14ac:dyDescent="0.15">
      <c r="A65" s="578"/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</row>
    <row r="66" spans="1:15" ht="26.25" thickBot="1" x14ac:dyDescent="0.2">
      <c r="A66" s="580" t="s">
        <v>392</v>
      </c>
      <c r="B66" s="581"/>
      <c r="C66" s="582"/>
      <c r="D66" s="581"/>
      <c r="E66" s="581"/>
      <c r="F66" s="581"/>
      <c r="G66" s="581"/>
      <c r="H66" s="581"/>
      <c r="I66" s="581"/>
      <c r="J66" s="581"/>
      <c r="K66" s="581"/>
      <c r="L66" s="581"/>
      <c r="M66" s="581"/>
      <c r="N66" s="581"/>
      <c r="O66" s="581"/>
    </row>
    <row r="67" spans="1:15" x14ac:dyDescent="0.15">
      <c r="A67" s="889" t="s">
        <v>393</v>
      </c>
      <c r="B67" s="890"/>
      <c r="C67" s="893" t="s">
        <v>394</v>
      </c>
      <c r="D67" s="894"/>
      <c r="E67" s="894"/>
      <c r="F67" s="894"/>
      <c r="G67" s="894"/>
      <c r="H67" s="895"/>
      <c r="I67" s="896" t="s">
        <v>395</v>
      </c>
      <c r="J67" s="894"/>
      <c r="K67" s="894"/>
      <c r="L67" s="894"/>
      <c r="M67" s="894"/>
      <c r="N67" s="897"/>
      <c r="O67" s="877" t="s">
        <v>396</v>
      </c>
    </row>
    <row r="68" spans="1:15" ht="15" thickBot="1" x14ac:dyDescent="0.2">
      <c r="A68" s="891"/>
      <c r="B68" s="892"/>
      <c r="C68" s="584">
        <v>1</v>
      </c>
      <c r="D68" s="585">
        <f>C68+1</f>
        <v>2</v>
      </c>
      <c r="E68" s="585">
        <f t="shared" ref="E68:N68" si="2">D68+1</f>
        <v>3</v>
      </c>
      <c r="F68" s="585">
        <f t="shared" si="2"/>
        <v>4</v>
      </c>
      <c r="G68" s="585">
        <f t="shared" si="2"/>
        <v>5</v>
      </c>
      <c r="H68" s="586">
        <f t="shared" si="2"/>
        <v>6</v>
      </c>
      <c r="I68" s="587">
        <f t="shared" si="2"/>
        <v>7</v>
      </c>
      <c r="J68" s="585">
        <f t="shared" si="2"/>
        <v>8</v>
      </c>
      <c r="K68" s="585">
        <f t="shared" si="2"/>
        <v>9</v>
      </c>
      <c r="L68" s="585">
        <f t="shared" si="2"/>
        <v>10</v>
      </c>
      <c r="M68" s="585">
        <f t="shared" si="2"/>
        <v>11</v>
      </c>
      <c r="N68" s="588">
        <f t="shared" si="2"/>
        <v>12</v>
      </c>
      <c r="O68" s="878"/>
    </row>
    <row r="69" spans="1:15" x14ac:dyDescent="0.15">
      <c r="A69" s="879" t="s">
        <v>397</v>
      </c>
      <c r="B69" s="882" t="s">
        <v>398</v>
      </c>
      <c r="C69" s="589" t="s">
        <v>462</v>
      </c>
      <c r="D69" s="590" t="s">
        <v>414</v>
      </c>
      <c r="E69" s="590" t="s">
        <v>463</v>
      </c>
      <c r="F69" s="590" t="s">
        <v>414</v>
      </c>
      <c r="G69" s="590" t="s">
        <v>414</v>
      </c>
      <c r="H69" s="591" t="s">
        <v>461</v>
      </c>
      <c r="I69" s="592" t="s">
        <v>465</v>
      </c>
      <c r="J69" s="590" t="s">
        <v>414</v>
      </c>
      <c r="K69" s="590" t="s">
        <v>466</v>
      </c>
      <c r="L69" s="590" t="s">
        <v>414</v>
      </c>
      <c r="M69" s="590" t="s">
        <v>414</v>
      </c>
      <c r="N69" s="593" t="s">
        <v>413</v>
      </c>
      <c r="O69" s="594"/>
    </row>
    <row r="70" spans="1:15" x14ac:dyDescent="0.15">
      <c r="A70" s="880"/>
      <c r="B70" s="883"/>
      <c r="C70" s="595">
        <v>90</v>
      </c>
      <c r="D70" s="596" t="s">
        <v>414</v>
      </c>
      <c r="E70" s="596">
        <v>272</v>
      </c>
      <c r="F70" s="596" t="s">
        <v>414</v>
      </c>
      <c r="G70" s="596" t="s">
        <v>414</v>
      </c>
      <c r="H70" s="597">
        <v>1198</v>
      </c>
      <c r="I70" s="598">
        <v>380</v>
      </c>
      <c r="J70" s="596" t="s">
        <v>414</v>
      </c>
      <c r="K70" s="596">
        <v>733</v>
      </c>
      <c r="L70" s="596" t="s">
        <v>414</v>
      </c>
      <c r="M70" s="596" t="s">
        <v>414</v>
      </c>
      <c r="N70" s="599">
        <v>831</v>
      </c>
      <c r="O70" s="600"/>
    </row>
    <row r="71" spans="1:15" x14ac:dyDescent="0.15">
      <c r="A71" s="880"/>
      <c r="B71" s="883"/>
      <c r="C71" s="601" t="s">
        <v>414</v>
      </c>
      <c r="D71" s="602" t="s">
        <v>414</v>
      </c>
      <c r="E71" s="603" t="s">
        <v>414</v>
      </c>
      <c r="F71" s="603" t="s">
        <v>414</v>
      </c>
      <c r="G71" s="603" t="s">
        <v>414</v>
      </c>
      <c r="H71" s="612" t="s">
        <v>467</v>
      </c>
      <c r="I71" s="605" t="s">
        <v>414</v>
      </c>
      <c r="J71" s="603" t="s">
        <v>414</v>
      </c>
      <c r="K71" s="603" t="s">
        <v>414</v>
      </c>
      <c r="L71" s="603" t="s">
        <v>414</v>
      </c>
      <c r="M71" s="603" t="s">
        <v>414</v>
      </c>
      <c r="N71" s="606" t="s">
        <v>415</v>
      </c>
      <c r="O71" s="607"/>
    </row>
    <row r="72" spans="1:15" x14ac:dyDescent="0.15">
      <c r="A72" s="880"/>
      <c r="B72" s="883"/>
      <c r="C72" s="608" t="s">
        <v>414</v>
      </c>
      <c r="D72" s="609" t="s">
        <v>414</v>
      </c>
      <c r="E72" s="596" t="s">
        <v>414</v>
      </c>
      <c r="F72" s="596" t="s">
        <v>414</v>
      </c>
      <c r="G72" s="596" t="s">
        <v>414</v>
      </c>
      <c r="H72" s="597">
        <v>54</v>
      </c>
      <c r="I72" s="598" t="s">
        <v>414</v>
      </c>
      <c r="J72" s="596" t="s">
        <v>414</v>
      </c>
      <c r="K72" s="596" t="s">
        <v>414</v>
      </c>
      <c r="L72" s="611" t="s">
        <v>414</v>
      </c>
      <c r="M72" s="596" t="s">
        <v>414</v>
      </c>
      <c r="N72" s="599">
        <v>695</v>
      </c>
      <c r="O72" s="600"/>
    </row>
    <row r="73" spans="1:15" x14ac:dyDescent="0.15">
      <c r="A73" s="880"/>
      <c r="B73" s="883"/>
      <c r="C73" s="601" t="s">
        <v>414</v>
      </c>
      <c r="D73" s="602" t="s">
        <v>414</v>
      </c>
      <c r="E73" s="603" t="s">
        <v>414</v>
      </c>
      <c r="F73" s="603" t="s">
        <v>414</v>
      </c>
      <c r="G73" s="603" t="s">
        <v>414</v>
      </c>
      <c r="H73" s="612" t="s">
        <v>414</v>
      </c>
      <c r="I73" s="605" t="s">
        <v>414</v>
      </c>
      <c r="J73" s="603" t="s">
        <v>414</v>
      </c>
      <c r="K73" s="603" t="s">
        <v>414</v>
      </c>
      <c r="L73" s="603" t="s">
        <v>414</v>
      </c>
      <c r="M73" s="603" t="s">
        <v>414</v>
      </c>
      <c r="N73" s="606" t="s">
        <v>468</v>
      </c>
      <c r="O73" s="607"/>
    </row>
    <row r="74" spans="1:15" x14ac:dyDescent="0.15">
      <c r="A74" s="880"/>
      <c r="B74" s="883"/>
      <c r="C74" s="608" t="s">
        <v>414</v>
      </c>
      <c r="D74" s="609" t="s">
        <v>414</v>
      </c>
      <c r="E74" s="596" t="s">
        <v>414</v>
      </c>
      <c r="F74" s="596" t="s">
        <v>414</v>
      </c>
      <c r="G74" s="596" t="s">
        <v>414</v>
      </c>
      <c r="H74" s="597" t="s">
        <v>414</v>
      </c>
      <c r="I74" s="598" t="s">
        <v>414</v>
      </c>
      <c r="J74" s="596" t="s">
        <v>414</v>
      </c>
      <c r="K74" s="596" t="s">
        <v>414</v>
      </c>
      <c r="L74" s="611" t="s">
        <v>414</v>
      </c>
      <c r="M74" s="596" t="s">
        <v>414</v>
      </c>
      <c r="N74" s="599">
        <v>509</v>
      </c>
      <c r="O74" s="600"/>
    </row>
    <row r="75" spans="1:15" x14ac:dyDescent="0.15">
      <c r="A75" s="880"/>
      <c r="B75" s="883"/>
      <c r="C75" s="601" t="s">
        <v>414</v>
      </c>
      <c r="D75" s="602" t="s">
        <v>414</v>
      </c>
      <c r="E75" s="603" t="s">
        <v>414</v>
      </c>
      <c r="F75" s="603" t="s">
        <v>414</v>
      </c>
      <c r="G75" s="603" t="s">
        <v>414</v>
      </c>
      <c r="H75" s="612" t="s">
        <v>414</v>
      </c>
      <c r="I75" s="605" t="s">
        <v>414</v>
      </c>
      <c r="J75" s="603" t="s">
        <v>414</v>
      </c>
      <c r="K75" s="603" t="s">
        <v>414</v>
      </c>
      <c r="L75" s="603" t="s">
        <v>414</v>
      </c>
      <c r="M75" s="603" t="s">
        <v>414</v>
      </c>
      <c r="N75" s="606" t="s">
        <v>469</v>
      </c>
      <c r="O75" s="607"/>
    </row>
    <row r="76" spans="1:15" x14ac:dyDescent="0.15">
      <c r="A76" s="880"/>
      <c r="B76" s="883"/>
      <c r="C76" s="608" t="s">
        <v>414</v>
      </c>
      <c r="D76" s="609" t="s">
        <v>414</v>
      </c>
      <c r="E76" s="596" t="s">
        <v>414</v>
      </c>
      <c r="F76" s="596" t="s">
        <v>414</v>
      </c>
      <c r="G76" s="596" t="s">
        <v>414</v>
      </c>
      <c r="H76" s="597" t="s">
        <v>414</v>
      </c>
      <c r="I76" s="598" t="s">
        <v>414</v>
      </c>
      <c r="J76" s="596" t="s">
        <v>414</v>
      </c>
      <c r="K76" s="596" t="s">
        <v>414</v>
      </c>
      <c r="L76" s="611" t="s">
        <v>414</v>
      </c>
      <c r="M76" s="596" t="s">
        <v>414</v>
      </c>
      <c r="N76" s="599">
        <v>310</v>
      </c>
      <c r="O76" s="600"/>
    </row>
    <row r="77" spans="1:15" x14ac:dyDescent="0.15">
      <c r="A77" s="880"/>
      <c r="B77" s="883"/>
      <c r="C77" s="601" t="s">
        <v>414</v>
      </c>
      <c r="D77" s="602" t="s">
        <v>414</v>
      </c>
      <c r="E77" s="603" t="s">
        <v>414</v>
      </c>
      <c r="F77" s="603" t="s">
        <v>414</v>
      </c>
      <c r="G77" s="603" t="s">
        <v>414</v>
      </c>
      <c r="H77" s="612" t="s">
        <v>414</v>
      </c>
      <c r="I77" s="605" t="s">
        <v>414</v>
      </c>
      <c r="J77" s="603" t="s">
        <v>414</v>
      </c>
      <c r="K77" s="603" t="s">
        <v>414</v>
      </c>
      <c r="L77" s="603" t="s">
        <v>414</v>
      </c>
      <c r="M77" s="603" t="s">
        <v>414</v>
      </c>
      <c r="N77" s="606" t="s">
        <v>470</v>
      </c>
      <c r="O77" s="607"/>
    </row>
    <row r="78" spans="1:15" x14ac:dyDescent="0.15">
      <c r="A78" s="880"/>
      <c r="B78" s="883"/>
      <c r="C78" s="608" t="s">
        <v>414</v>
      </c>
      <c r="D78" s="609" t="s">
        <v>414</v>
      </c>
      <c r="E78" s="596" t="s">
        <v>414</v>
      </c>
      <c r="F78" s="596" t="s">
        <v>414</v>
      </c>
      <c r="G78" s="596" t="s">
        <v>414</v>
      </c>
      <c r="H78" s="597" t="s">
        <v>414</v>
      </c>
      <c r="I78" s="598" t="s">
        <v>414</v>
      </c>
      <c r="J78" s="596" t="s">
        <v>414</v>
      </c>
      <c r="K78" s="596" t="s">
        <v>414</v>
      </c>
      <c r="L78" s="611" t="s">
        <v>414</v>
      </c>
      <c r="M78" s="596" t="s">
        <v>414</v>
      </c>
      <c r="N78" s="599">
        <v>137</v>
      </c>
      <c r="O78" s="600"/>
    </row>
    <row r="79" spans="1:15" x14ac:dyDescent="0.15">
      <c r="A79" s="880"/>
      <c r="B79" s="883"/>
      <c r="C79" s="601" t="s">
        <v>414</v>
      </c>
      <c r="D79" s="602" t="s">
        <v>414</v>
      </c>
      <c r="E79" s="603" t="s">
        <v>414</v>
      </c>
      <c r="F79" s="603" t="s">
        <v>414</v>
      </c>
      <c r="G79" s="603" t="s">
        <v>414</v>
      </c>
      <c r="H79" s="612" t="s">
        <v>414</v>
      </c>
      <c r="I79" s="605" t="s">
        <v>414</v>
      </c>
      <c r="J79" s="603" t="s">
        <v>414</v>
      </c>
      <c r="K79" s="603" t="s">
        <v>414</v>
      </c>
      <c r="L79" s="603" t="s">
        <v>414</v>
      </c>
      <c r="M79" s="603" t="s">
        <v>414</v>
      </c>
      <c r="N79" s="606" t="s">
        <v>471</v>
      </c>
      <c r="O79" s="607"/>
    </row>
    <row r="80" spans="1:15" x14ac:dyDescent="0.15">
      <c r="A80" s="880"/>
      <c r="B80" s="883"/>
      <c r="C80" s="608" t="s">
        <v>414</v>
      </c>
      <c r="D80" s="609" t="s">
        <v>414</v>
      </c>
      <c r="E80" s="596" t="s">
        <v>414</v>
      </c>
      <c r="F80" s="596" t="s">
        <v>414</v>
      </c>
      <c r="G80" s="596" t="s">
        <v>414</v>
      </c>
      <c r="H80" s="597" t="s">
        <v>414</v>
      </c>
      <c r="I80" s="598" t="s">
        <v>414</v>
      </c>
      <c r="J80" s="596" t="s">
        <v>414</v>
      </c>
      <c r="K80" s="596" t="s">
        <v>414</v>
      </c>
      <c r="L80" s="611" t="s">
        <v>414</v>
      </c>
      <c r="M80" s="596" t="s">
        <v>414</v>
      </c>
      <c r="N80" s="599">
        <v>176</v>
      </c>
      <c r="O80" s="600"/>
    </row>
    <row r="81" spans="1:15" x14ac:dyDescent="0.15">
      <c r="A81" s="880"/>
      <c r="B81" s="883"/>
      <c r="C81" s="601" t="s">
        <v>414</v>
      </c>
      <c r="D81" s="602" t="s">
        <v>414</v>
      </c>
      <c r="E81" s="603" t="s">
        <v>414</v>
      </c>
      <c r="F81" s="603" t="s">
        <v>414</v>
      </c>
      <c r="G81" s="603" t="s">
        <v>414</v>
      </c>
      <c r="H81" s="612" t="s">
        <v>414</v>
      </c>
      <c r="I81" s="605" t="s">
        <v>414</v>
      </c>
      <c r="J81" s="603" t="s">
        <v>414</v>
      </c>
      <c r="K81" s="603" t="s">
        <v>414</v>
      </c>
      <c r="L81" s="603" t="s">
        <v>414</v>
      </c>
      <c r="M81" s="603" t="s">
        <v>414</v>
      </c>
      <c r="N81" s="606" t="s">
        <v>414</v>
      </c>
      <c r="O81" s="607"/>
    </row>
    <row r="82" spans="1:15" x14ac:dyDescent="0.15">
      <c r="A82" s="880"/>
      <c r="B82" s="883"/>
      <c r="C82" s="608" t="s">
        <v>414</v>
      </c>
      <c r="D82" s="609" t="s">
        <v>414</v>
      </c>
      <c r="E82" s="596" t="s">
        <v>414</v>
      </c>
      <c r="F82" s="596" t="s">
        <v>414</v>
      </c>
      <c r="G82" s="596" t="s">
        <v>414</v>
      </c>
      <c r="H82" s="597" t="s">
        <v>414</v>
      </c>
      <c r="I82" s="598" t="s">
        <v>414</v>
      </c>
      <c r="J82" s="596" t="s">
        <v>414</v>
      </c>
      <c r="K82" s="596" t="s">
        <v>414</v>
      </c>
      <c r="L82" s="611" t="s">
        <v>414</v>
      </c>
      <c r="M82" s="596" t="s">
        <v>414</v>
      </c>
      <c r="N82" s="599" t="s">
        <v>414</v>
      </c>
      <c r="O82" s="600"/>
    </row>
    <row r="83" spans="1:15" x14ac:dyDescent="0.15">
      <c r="A83" s="880"/>
      <c r="B83" s="883"/>
      <c r="C83" s="601" t="s">
        <v>414</v>
      </c>
      <c r="D83" s="602" t="s">
        <v>414</v>
      </c>
      <c r="E83" s="603" t="s">
        <v>414</v>
      </c>
      <c r="F83" s="603" t="s">
        <v>414</v>
      </c>
      <c r="G83" s="603" t="s">
        <v>414</v>
      </c>
      <c r="H83" s="612" t="s">
        <v>414</v>
      </c>
      <c r="I83" s="605" t="s">
        <v>414</v>
      </c>
      <c r="J83" s="603" t="s">
        <v>414</v>
      </c>
      <c r="K83" s="603" t="s">
        <v>414</v>
      </c>
      <c r="L83" s="603" t="s">
        <v>414</v>
      </c>
      <c r="M83" s="603" t="s">
        <v>414</v>
      </c>
      <c r="N83" s="606" t="s">
        <v>414</v>
      </c>
      <c r="O83" s="607"/>
    </row>
    <row r="84" spans="1:15" x14ac:dyDescent="0.15">
      <c r="A84" s="880"/>
      <c r="B84" s="883"/>
      <c r="C84" s="608" t="s">
        <v>414</v>
      </c>
      <c r="D84" s="609" t="s">
        <v>414</v>
      </c>
      <c r="E84" s="596" t="s">
        <v>414</v>
      </c>
      <c r="F84" s="596" t="s">
        <v>414</v>
      </c>
      <c r="G84" s="596" t="s">
        <v>414</v>
      </c>
      <c r="H84" s="597" t="s">
        <v>414</v>
      </c>
      <c r="I84" s="598" t="s">
        <v>414</v>
      </c>
      <c r="J84" s="596" t="s">
        <v>414</v>
      </c>
      <c r="K84" s="596" t="s">
        <v>414</v>
      </c>
      <c r="L84" s="611" t="s">
        <v>414</v>
      </c>
      <c r="M84" s="596" t="s">
        <v>414</v>
      </c>
      <c r="N84" s="599" t="s">
        <v>414</v>
      </c>
      <c r="O84" s="600"/>
    </row>
    <row r="85" spans="1:15" x14ac:dyDescent="0.15">
      <c r="A85" s="880"/>
      <c r="B85" s="883"/>
      <c r="C85" s="601" t="s">
        <v>414</v>
      </c>
      <c r="D85" s="602" t="s">
        <v>414</v>
      </c>
      <c r="E85" s="603" t="s">
        <v>414</v>
      </c>
      <c r="F85" s="603" t="s">
        <v>414</v>
      </c>
      <c r="G85" s="603" t="s">
        <v>414</v>
      </c>
      <c r="H85" s="612" t="s">
        <v>414</v>
      </c>
      <c r="I85" s="605" t="s">
        <v>414</v>
      </c>
      <c r="J85" s="603" t="s">
        <v>414</v>
      </c>
      <c r="K85" s="603" t="s">
        <v>414</v>
      </c>
      <c r="L85" s="603" t="s">
        <v>414</v>
      </c>
      <c r="M85" s="603" t="s">
        <v>414</v>
      </c>
      <c r="N85" s="606" t="s">
        <v>414</v>
      </c>
      <c r="O85" s="607"/>
    </row>
    <row r="86" spans="1:15" x14ac:dyDescent="0.15">
      <c r="A86" s="880"/>
      <c r="B86" s="883"/>
      <c r="C86" s="608" t="s">
        <v>414</v>
      </c>
      <c r="D86" s="609" t="s">
        <v>414</v>
      </c>
      <c r="E86" s="596" t="s">
        <v>414</v>
      </c>
      <c r="F86" s="596" t="s">
        <v>414</v>
      </c>
      <c r="G86" s="596" t="s">
        <v>414</v>
      </c>
      <c r="H86" s="597" t="s">
        <v>414</v>
      </c>
      <c r="I86" s="598" t="s">
        <v>414</v>
      </c>
      <c r="J86" s="596" t="s">
        <v>414</v>
      </c>
      <c r="K86" s="596" t="s">
        <v>414</v>
      </c>
      <c r="L86" s="611" t="s">
        <v>414</v>
      </c>
      <c r="M86" s="596" t="s">
        <v>414</v>
      </c>
      <c r="N86" s="599" t="s">
        <v>414</v>
      </c>
      <c r="O86" s="600"/>
    </row>
    <row r="87" spans="1:15" x14ac:dyDescent="0.15">
      <c r="A87" s="880"/>
      <c r="B87" s="883"/>
      <c r="C87" s="601" t="s">
        <v>414</v>
      </c>
      <c r="D87" s="602" t="s">
        <v>414</v>
      </c>
      <c r="E87" s="603" t="s">
        <v>414</v>
      </c>
      <c r="F87" s="603" t="s">
        <v>414</v>
      </c>
      <c r="G87" s="603" t="s">
        <v>414</v>
      </c>
      <c r="H87" s="612" t="s">
        <v>414</v>
      </c>
      <c r="I87" s="605" t="s">
        <v>414</v>
      </c>
      <c r="J87" s="603" t="s">
        <v>414</v>
      </c>
      <c r="K87" s="603" t="s">
        <v>414</v>
      </c>
      <c r="L87" s="603" t="s">
        <v>414</v>
      </c>
      <c r="M87" s="603" t="s">
        <v>414</v>
      </c>
      <c r="N87" s="606" t="s">
        <v>414</v>
      </c>
      <c r="O87" s="607"/>
    </row>
    <row r="88" spans="1:15" x14ac:dyDescent="0.15">
      <c r="A88" s="880"/>
      <c r="B88" s="883"/>
      <c r="C88" s="608" t="s">
        <v>414</v>
      </c>
      <c r="D88" s="609" t="s">
        <v>414</v>
      </c>
      <c r="E88" s="596" t="s">
        <v>414</v>
      </c>
      <c r="F88" s="596" t="s">
        <v>414</v>
      </c>
      <c r="G88" s="596" t="s">
        <v>414</v>
      </c>
      <c r="H88" s="597" t="s">
        <v>414</v>
      </c>
      <c r="I88" s="598" t="s">
        <v>414</v>
      </c>
      <c r="J88" s="596" t="s">
        <v>414</v>
      </c>
      <c r="K88" s="596" t="s">
        <v>414</v>
      </c>
      <c r="L88" s="611" t="s">
        <v>414</v>
      </c>
      <c r="M88" s="596" t="s">
        <v>414</v>
      </c>
      <c r="N88" s="599" t="s">
        <v>414</v>
      </c>
      <c r="O88" s="600"/>
    </row>
    <row r="89" spans="1:15" x14ac:dyDescent="0.15">
      <c r="A89" s="880"/>
      <c r="B89" s="883"/>
      <c r="C89" s="601" t="s">
        <v>414</v>
      </c>
      <c r="D89" s="602" t="s">
        <v>414</v>
      </c>
      <c r="E89" s="603" t="s">
        <v>414</v>
      </c>
      <c r="F89" s="603" t="s">
        <v>414</v>
      </c>
      <c r="G89" s="603" t="s">
        <v>414</v>
      </c>
      <c r="H89" s="612" t="s">
        <v>414</v>
      </c>
      <c r="I89" s="605" t="s">
        <v>414</v>
      </c>
      <c r="J89" s="603" t="s">
        <v>414</v>
      </c>
      <c r="K89" s="603" t="s">
        <v>414</v>
      </c>
      <c r="L89" s="603" t="s">
        <v>414</v>
      </c>
      <c r="M89" s="603" t="s">
        <v>414</v>
      </c>
      <c r="N89" s="606" t="s">
        <v>414</v>
      </c>
      <c r="O89" s="607"/>
    </row>
    <row r="90" spans="1:15" x14ac:dyDescent="0.15">
      <c r="A90" s="880"/>
      <c r="B90" s="883"/>
      <c r="C90" s="608" t="s">
        <v>414</v>
      </c>
      <c r="D90" s="609" t="s">
        <v>414</v>
      </c>
      <c r="E90" s="596" t="s">
        <v>414</v>
      </c>
      <c r="F90" s="596" t="s">
        <v>414</v>
      </c>
      <c r="G90" s="596" t="s">
        <v>414</v>
      </c>
      <c r="H90" s="597" t="s">
        <v>414</v>
      </c>
      <c r="I90" s="598" t="s">
        <v>414</v>
      </c>
      <c r="J90" s="596" t="s">
        <v>414</v>
      </c>
      <c r="K90" s="596" t="s">
        <v>414</v>
      </c>
      <c r="L90" s="611" t="s">
        <v>414</v>
      </c>
      <c r="M90" s="596" t="s">
        <v>414</v>
      </c>
      <c r="N90" s="599" t="s">
        <v>414</v>
      </c>
      <c r="O90" s="600"/>
    </row>
    <row r="91" spans="1:15" x14ac:dyDescent="0.15">
      <c r="A91" s="880"/>
      <c r="B91" s="883"/>
      <c r="C91" s="601" t="s">
        <v>414</v>
      </c>
      <c r="D91" s="602" t="s">
        <v>414</v>
      </c>
      <c r="E91" s="603" t="s">
        <v>414</v>
      </c>
      <c r="F91" s="603" t="s">
        <v>414</v>
      </c>
      <c r="G91" s="603" t="s">
        <v>414</v>
      </c>
      <c r="H91" s="612" t="s">
        <v>414</v>
      </c>
      <c r="I91" s="605" t="s">
        <v>414</v>
      </c>
      <c r="J91" s="603" t="s">
        <v>414</v>
      </c>
      <c r="K91" s="603" t="s">
        <v>414</v>
      </c>
      <c r="L91" s="603" t="s">
        <v>414</v>
      </c>
      <c r="M91" s="603" t="s">
        <v>414</v>
      </c>
      <c r="N91" s="606" t="s">
        <v>414</v>
      </c>
      <c r="O91" s="607"/>
    </row>
    <row r="92" spans="1:15" x14ac:dyDescent="0.15">
      <c r="A92" s="880"/>
      <c r="B92" s="883"/>
      <c r="C92" s="608" t="s">
        <v>414</v>
      </c>
      <c r="D92" s="609" t="s">
        <v>414</v>
      </c>
      <c r="E92" s="596" t="s">
        <v>414</v>
      </c>
      <c r="F92" s="596" t="s">
        <v>414</v>
      </c>
      <c r="G92" s="596" t="s">
        <v>414</v>
      </c>
      <c r="H92" s="597" t="s">
        <v>414</v>
      </c>
      <c r="I92" s="598" t="s">
        <v>414</v>
      </c>
      <c r="J92" s="596" t="s">
        <v>414</v>
      </c>
      <c r="K92" s="596" t="s">
        <v>414</v>
      </c>
      <c r="L92" s="611" t="s">
        <v>414</v>
      </c>
      <c r="M92" s="596" t="s">
        <v>414</v>
      </c>
      <c r="N92" s="599" t="s">
        <v>414</v>
      </c>
      <c r="O92" s="600"/>
    </row>
    <row r="93" spans="1:15" x14ac:dyDescent="0.15">
      <c r="A93" s="880"/>
      <c r="B93" s="883"/>
      <c r="C93" s="601" t="s">
        <v>414</v>
      </c>
      <c r="D93" s="602" t="s">
        <v>414</v>
      </c>
      <c r="E93" s="603" t="s">
        <v>414</v>
      </c>
      <c r="F93" s="603" t="s">
        <v>414</v>
      </c>
      <c r="G93" s="603" t="s">
        <v>414</v>
      </c>
      <c r="H93" s="612" t="s">
        <v>414</v>
      </c>
      <c r="I93" s="605" t="s">
        <v>414</v>
      </c>
      <c r="J93" s="603" t="s">
        <v>414</v>
      </c>
      <c r="K93" s="603" t="s">
        <v>414</v>
      </c>
      <c r="L93" s="603" t="s">
        <v>414</v>
      </c>
      <c r="M93" s="603" t="s">
        <v>414</v>
      </c>
      <c r="N93" s="606" t="s">
        <v>414</v>
      </c>
      <c r="O93" s="607"/>
    </row>
    <row r="94" spans="1:15" x14ac:dyDescent="0.15">
      <c r="A94" s="880"/>
      <c r="B94" s="883"/>
      <c r="C94" s="608" t="s">
        <v>414</v>
      </c>
      <c r="D94" s="609" t="s">
        <v>414</v>
      </c>
      <c r="E94" s="596" t="s">
        <v>414</v>
      </c>
      <c r="F94" s="596" t="s">
        <v>414</v>
      </c>
      <c r="G94" s="596" t="s">
        <v>414</v>
      </c>
      <c r="H94" s="597" t="s">
        <v>414</v>
      </c>
      <c r="I94" s="598" t="s">
        <v>414</v>
      </c>
      <c r="J94" s="596" t="s">
        <v>414</v>
      </c>
      <c r="K94" s="596" t="s">
        <v>414</v>
      </c>
      <c r="L94" s="611" t="s">
        <v>414</v>
      </c>
      <c r="M94" s="596" t="s">
        <v>414</v>
      </c>
      <c r="N94" s="599" t="s">
        <v>414</v>
      </c>
      <c r="O94" s="600"/>
    </row>
    <row r="95" spans="1:15" x14ac:dyDescent="0.15">
      <c r="A95" s="880"/>
      <c r="B95" s="883"/>
      <c r="C95" s="613" t="s">
        <v>414</v>
      </c>
      <c r="D95" s="614" t="s">
        <v>414</v>
      </c>
      <c r="E95" s="615" t="s">
        <v>414</v>
      </c>
      <c r="F95" s="615" t="s">
        <v>414</v>
      </c>
      <c r="G95" s="615" t="s">
        <v>414</v>
      </c>
      <c r="H95" s="616" t="s">
        <v>414</v>
      </c>
      <c r="I95" s="617" t="s">
        <v>414</v>
      </c>
      <c r="J95" s="615" t="s">
        <v>414</v>
      </c>
      <c r="K95" s="615" t="s">
        <v>414</v>
      </c>
      <c r="L95" s="618" t="s">
        <v>414</v>
      </c>
      <c r="M95" s="615" t="s">
        <v>414</v>
      </c>
      <c r="N95" s="619" t="s">
        <v>414</v>
      </c>
      <c r="O95" s="620"/>
    </row>
    <row r="96" spans="1:15" x14ac:dyDescent="0.15">
      <c r="A96" s="880"/>
      <c r="B96" s="884"/>
      <c r="C96" s="613" t="s">
        <v>414</v>
      </c>
      <c r="D96" s="614" t="s">
        <v>414</v>
      </c>
      <c r="E96" s="615" t="s">
        <v>414</v>
      </c>
      <c r="F96" s="615" t="s">
        <v>414</v>
      </c>
      <c r="G96" s="615" t="s">
        <v>414</v>
      </c>
      <c r="H96" s="616" t="s">
        <v>414</v>
      </c>
      <c r="I96" s="617" t="s">
        <v>414</v>
      </c>
      <c r="J96" s="615" t="s">
        <v>414</v>
      </c>
      <c r="K96" s="615" t="s">
        <v>414</v>
      </c>
      <c r="L96" s="618" t="s">
        <v>414</v>
      </c>
      <c r="M96" s="615" t="s">
        <v>414</v>
      </c>
      <c r="N96" s="619" t="s">
        <v>414</v>
      </c>
      <c r="O96" s="620"/>
    </row>
    <row r="97" spans="1:15" ht="15" thickBot="1" x14ac:dyDescent="0.2">
      <c r="A97" s="881"/>
      <c r="B97" s="621" t="s">
        <v>399</v>
      </c>
      <c r="C97" s="720">
        <v>707</v>
      </c>
      <c r="D97" s="721">
        <v>662</v>
      </c>
      <c r="E97" s="721">
        <v>645</v>
      </c>
      <c r="F97" s="721">
        <v>629</v>
      </c>
      <c r="G97" s="721">
        <v>609</v>
      </c>
      <c r="H97" s="722">
        <v>674</v>
      </c>
      <c r="I97" s="723">
        <v>779</v>
      </c>
      <c r="J97" s="721">
        <v>749</v>
      </c>
      <c r="K97" s="721">
        <v>581</v>
      </c>
      <c r="L97" s="721">
        <v>540</v>
      </c>
      <c r="M97" s="721">
        <v>522</v>
      </c>
      <c r="N97" s="724">
        <v>700</v>
      </c>
      <c r="O97" s="624">
        <f>SUM(C97:N97)</f>
        <v>7797</v>
      </c>
    </row>
    <row r="98" spans="1:15" x14ac:dyDescent="0.15">
      <c r="A98" s="885" t="s">
        <v>400</v>
      </c>
      <c r="B98" s="887" t="s">
        <v>401</v>
      </c>
      <c r="C98" s="589" t="s">
        <v>414</v>
      </c>
      <c r="D98" s="590" t="s">
        <v>465</v>
      </c>
      <c r="E98" s="590" t="s">
        <v>467</v>
      </c>
      <c r="F98" s="590" t="s">
        <v>414</v>
      </c>
      <c r="G98" s="590" t="s">
        <v>415</v>
      </c>
      <c r="H98" s="591" t="s">
        <v>472</v>
      </c>
      <c r="I98" s="592" t="s">
        <v>414</v>
      </c>
      <c r="J98" s="590" t="s">
        <v>414</v>
      </c>
      <c r="K98" s="590" t="s">
        <v>414</v>
      </c>
      <c r="L98" s="725" t="s">
        <v>473</v>
      </c>
      <c r="M98" s="590" t="s">
        <v>469</v>
      </c>
      <c r="N98" s="593" t="s">
        <v>414</v>
      </c>
      <c r="O98" s="626"/>
    </row>
    <row r="99" spans="1:15" x14ac:dyDescent="0.15">
      <c r="A99" s="886"/>
      <c r="B99" s="888"/>
      <c r="C99" s="595" t="s">
        <v>414</v>
      </c>
      <c r="D99" s="596">
        <v>380</v>
      </c>
      <c r="E99" s="596">
        <v>54</v>
      </c>
      <c r="F99" s="596" t="s">
        <v>414</v>
      </c>
      <c r="G99" s="596">
        <v>695</v>
      </c>
      <c r="H99" s="597">
        <v>863</v>
      </c>
      <c r="I99" s="598" t="s">
        <v>414</v>
      </c>
      <c r="J99" s="596" t="s">
        <v>414</v>
      </c>
      <c r="K99" s="596" t="s">
        <v>414</v>
      </c>
      <c r="L99" s="726">
        <v>1498</v>
      </c>
      <c r="M99" s="596">
        <v>310</v>
      </c>
      <c r="N99" s="599" t="s">
        <v>414</v>
      </c>
      <c r="O99" s="628"/>
    </row>
    <row r="100" spans="1:15" x14ac:dyDescent="0.15">
      <c r="A100" s="886"/>
      <c r="B100" s="888"/>
      <c r="C100" s="601" t="s">
        <v>414</v>
      </c>
      <c r="D100" s="602" t="s">
        <v>414</v>
      </c>
      <c r="E100" s="603" t="s">
        <v>466</v>
      </c>
      <c r="F100" s="603" t="s">
        <v>414</v>
      </c>
      <c r="G100" s="603" t="s">
        <v>468</v>
      </c>
      <c r="H100" s="612" t="s">
        <v>414</v>
      </c>
      <c r="I100" s="605" t="s">
        <v>414</v>
      </c>
      <c r="J100" s="603" t="s">
        <v>414</v>
      </c>
      <c r="K100" s="603" t="s">
        <v>414</v>
      </c>
      <c r="L100" s="603" t="s">
        <v>414</v>
      </c>
      <c r="M100" s="603" t="s">
        <v>470</v>
      </c>
      <c r="N100" s="606" t="s">
        <v>414</v>
      </c>
      <c r="O100" s="629"/>
    </row>
    <row r="101" spans="1:15" x14ac:dyDescent="0.15">
      <c r="A101" s="886"/>
      <c r="B101" s="888"/>
      <c r="C101" s="608" t="s">
        <v>414</v>
      </c>
      <c r="D101" s="609" t="s">
        <v>414</v>
      </c>
      <c r="E101" s="596">
        <v>733</v>
      </c>
      <c r="F101" s="596" t="s">
        <v>414</v>
      </c>
      <c r="G101" s="596">
        <v>509</v>
      </c>
      <c r="H101" s="597" t="s">
        <v>414</v>
      </c>
      <c r="I101" s="598" t="s">
        <v>414</v>
      </c>
      <c r="J101" s="596" t="s">
        <v>414</v>
      </c>
      <c r="K101" s="596" t="s">
        <v>414</v>
      </c>
      <c r="L101" s="611" t="s">
        <v>414</v>
      </c>
      <c r="M101" s="596">
        <v>137</v>
      </c>
      <c r="N101" s="599" t="s">
        <v>414</v>
      </c>
      <c r="O101" s="628"/>
    </row>
    <row r="102" spans="1:15" x14ac:dyDescent="0.15">
      <c r="A102" s="886"/>
      <c r="B102" s="888"/>
      <c r="C102" s="601" t="s">
        <v>414</v>
      </c>
      <c r="D102" s="602" t="s">
        <v>414</v>
      </c>
      <c r="E102" s="603" t="s">
        <v>414</v>
      </c>
      <c r="F102" s="603" t="s">
        <v>414</v>
      </c>
      <c r="G102" s="603" t="s">
        <v>414</v>
      </c>
      <c r="H102" s="612" t="s">
        <v>414</v>
      </c>
      <c r="I102" s="605" t="s">
        <v>414</v>
      </c>
      <c r="J102" s="603" t="s">
        <v>414</v>
      </c>
      <c r="K102" s="603" t="s">
        <v>414</v>
      </c>
      <c r="L102" s="603" t="s">
        <v>414</v>
      </c>
      <c r="M102" s="603" t="s">
        <v>471</v>
      </c>
      <c r="N102" s="606" t="s">
        <v>414</v>
      </c>
      <c r="O102" s="629"/>
    </row>
    <row r="103" spans="1:15" x14ac:dyDescent="0.15">
      <c r="A103" s="886"/>
      <c r="B103" s="888"/>
      <c r="C103" s="608" t="s">
        <v>414</v>
      </c>
      <c r="D103" s="609" t="s">
        <v>414</v>
      </c>
      <c r="E103" s="596" t="s">
        <v>414</v>
      </c>
      <c r="F103" s="596" t="s">
        <v>414</v>
      </c>
      <c r="G103" s="596" t="s">
        <v>414</v>
      </c>
      <c r="H103" s="597" t="s">
        <v>414</v>
      </c>
      <c r="I103" s="598" t="s">
        <v>414</v>
      </c>
      <c r="J103" s="596" t="s">
        <v>414</v>
      </c>
      <c r="K103" s="596" t="s">
        <v>414</v>
      </c>
      <c r="L103" s="611" t="s">
        <v>414</v>
      </c>
      <c r="M103" s="596">
        <v>176</v>
      </c>
      <c r="N103" s="599" t="s">
        <v>414</v>
      </c>
      <c r="O103" s="628"/>
    </row>
    <row r="104" spans="1:15" x14ac:dyDescent="0.15">
      <c r="A104" s="886"/>
      <c r="B104" s="888"/>
      <c r="C104" s="601" t="s">
        <v>414</v>
      </c>
      <c r="D104" s="602" t="s">
        <v>414</v>
      </c>
      <c r="E104" s="603" t="s">
        <v>414</v>
      </c>
      <c r="F104" s="603" t="s">
        <v>414</v>
      </c>
      <c r="G104" s="603" t="s">
        <v>414</v>
      </c>
      <c r="H104" s="612" t="s">
        <v>414</v>
      </c>
      <c r="I104" s="605" t="s">
        <v>414</v>
      </c>
      <c r="J104" s="603" t="s">
        <v>414</v>
      </c>
      <c r="K104" s="603" t="s">
        <v>414</v>
      </c>
      <c r="L104" s="603" t="s">
        <v>414</v>
      </c>
      <c r="M104" s="603" t="s">
        <v>414</v>
      </c>
      <c r="N104" s="630" t="s">
        <v>414</v>
      </c>
      <c r="O104" s="629"/>
    </row>
    <row r="105" spans="1:15" x14ac:dyDescent="0.15">
      <c r="A105" s="886"/>
      <c r="B105" s="888"/>
      <c r="C105" s="608" t="s">
        <v>414</v>
      </c>
      <c r="D105" s="609" t="s">
        <v>414</v>
      </c>
      <c r="E105" s="596" t="s">
        <v>414</v>
      </c>
      <c r="F105" s="596" t="s">
        <v>414</v>
      </c>
      <c r="G105" s="596" t="s">
        <v>414</v>
      </c>
      <c r="H105" s="597" t="s">
        <v>414</v>
      </c>
      <c r="I105" s="598" t="s">
        <v>414</v>
      </c>
      <c r="J105" s="596" t="s">
        <v>414</v>
      </c>
      <c r="K105" s="596" t="s">
        <v>414</v>
      </c>
      <c r="L105" s="611" t="s">
        <v>414</v>
      </c>
      <c r="M105" s="596" t="s">
        <v>414</v>
      </c>
      <c r="N105" s="631" t="s">
        <v>414</v>
      </c>
      <c r="O105" s="628"/>
    </row>
    <row r="106" spans="1:15" x14ac:dyDescent="0.15">
      <c r="A106" s="886"/>
      <c r="B106" s="888"/>
      <c r="C106" s="601" t="s">
        <v>414</v>
      </c>
      <c r="D106" s="602" t="s">
        <v>414</v>
      </c>
      <c r="E106" s="603" t="s">
        <v>414</v>
      </c>
      <c r="F106" s="603" t="s">
        <v>414</v>
      </c>
      <c r="G106" s="603" t="s">
        <v>414</v>
      </c>
      <c r="H106" s="612" t="s">
        <v>414</v>
      </c>
      <c r="I106" s="605" t="s">
        <v>414</v>
      </c>
      <c r="J106" s="603" t="s">
        <v>414</v>
      </c>
      <c r="K106" s="603" t="s">
        <v>414</v>
      </c>
      <c r="L106" s="603" t="s">
        <v>414</v>
      </c>
      <c r="M106" s="603" t="s">
        <v>414</v>
      </c>
      <c r="N106" s="606" t="s">
        <v>414</v>
      </c>
      <c r="O106" s="629"/>
    </row>
    <row r="107" spans="1:15" x14ac:dyDescent="0.15">
      <c r="A107" s="886"/>
      <c r="B107" s="888"/>
      <c r="C107" s="608" t="s">
        <v>414</v>
      </c>
      <c r="D107" s="609" t="s">
        <v>414</v>
      </c>
      <c r="E107" s="596" t="s">
        <v>414</v>
      </c>
      <c r="F107" s="596" t="s">
        <v>414</v>
      </c>
      <c r="G107" s="596" t="s">
        <v>414</v>
      </c>
      <c r="H107" s="597" t="s">
        <v>414</v>
      </c>
      <c r="I107" s="598" t="s">
        <v>414</v>
      </c>
      <c r="J107" s="596" t="s">
        <v>414</v>
      </c>
      <c r="K107" s="596" t="s">
        <v>414</v>
      </c>
      <c r="L107" s="611" t="s">
        <v>414</v>
      </c>
      <c r="M107" s="596" t="s">
        <v>414</v>
      </c>
      <c r="N107" s="599" t="s">
        <v>414</v>
      </c>
      <c r="O107" s="628"/>
    </row>
    <row r="108" spans="1:15" x14ac:dyDescent="0.15">
      <c r="A108" s="886"/>
      <c r="B108" s="888"/>
      <c r="C108" s="601" t="s">
        <v>414</v>
      </c>
      <c r="D108" s="602" t="s">
        <v>414</v>
      </c>
      <c r="E108" s="603" t="s">
        <v>414</v>
      </c>
      <c r="F108" s="603" t="s">
        <v>414</v>
      </c>
      <c r="G108" s="603" t="s">
        <v>414</v>
      </c>
      <c r="H108" s="612" t="s">
        <v>414</v>
      </c>
      <c r="I108" s="605" t="s">
        <v>414</v>
      </c>
      <c r="J108" s="603" t="s">
        <v>414</v>
      </c>
      <c r="K108" s="603" t="s">
        <v>414</v>
      </c>
      <c r="L108" s="603" t="s">
        <v>414</v>
      </c>
      <c r="M108" s="603" t="s">
        <v>414</v>
      </c>
      <c r="N108" s="606" t="s">
        <v>414</v>
      </c>
      <c r="O108" s="629"/>
    </row>
    <row r="109" spans="1:15" x14ac:dyDescent="0.15">
      <c r="A109" s="886"/>
      <c r="B109" s="888"/>
      <c r="C109" s="608" t="s">
        <v>414</v>
      </c>
      <c r="D109" s="609" t="s">
        <v>414</v>
      </c>
      <c r="E109" s="596" t="s">
        <v>414</v>
      </c>
      <c r="F109" s="596" t="s">
        <v>414</v>
      </c>
      <c r="G109" s="596" t="s">
        <v>414</v>
      </c>
      <c r="H109" s="597" t="s">
        <v>414</v>
      </c>
      <c r="I109" s="598" t="s">
        <v>414</v>
      </c>
      <c r="J109" s="596" t="s">
        <v>414</v>
      </c>
      <c r="K109" s="596" t="s">
        <v>414</v>
      </c>
      <c r="L109" s="611" t="s">
        <v>414</v>
      </c>
      <c r="M109" s="596" t="s">
        <v>414</v>
      </c>
      <c r="N109" s="599" t="s">
        <v>414</v>
      </c>
      <c r="O109" s="628"/>
    </row>
    <row r="110" spans="1:15" x14ac:dyDescent="0.15">
      <c r="A110" s="886"/>
      <c r="B110" s="888"/>
      <c r="C110" s="601" t="s">
        <v>414</v>
      </c>
      <c r="D110" s="602" t="s">
        <v>414</v>
      </c>
      <c r="E110" s="603" t="s">
        <v>414</v>
      </c>
      <c r="F110" s="603" t="s">
        <v>414</v>
      </c>
      <c r="G110" s="603" t="s">
        <v>414</v>
      </c>
      <c r="H110" s="612" t="s">
        <v>414</v>
      </c>
      <c r="I110" s="605" t="s">
        <v>414</v>
      </c>
      <c r="J110" s="603" t="s">
        <v>414</v>
      </c>
      <c r="K110" s="603" t="s">
        <v>414</v>
      </c>
      <c r="L110" s="603" t="s">
        <v>414</v>
      </c>
      <c r="M110" s="603" t="s">
        <v>414</v>
      </c>
      <c r="N110" s="606" t="s">
        <v>414</v>
      </c>
      <c r="O110" s="629"/>
    </row>
    <row r="111" spans="1:15" x14ac:dyDescent="0.15">
      <c r="A111" s="886"/>
      <c r="B111" s="888"/>
      <c r="C111" s="608" t="s">
        <v>414</v>
      </c>
      <c r="D111" s="609" t="s">
        <v>414</v>
      </c>
      <c r="E111" s="596" t="s">
        <v>414</v>
      </c>
      <c r="F111" s="596" t="s">
        <v>414</v>
      </c>
      <c r="G111" s="596" t="s">
        <v>414</v>
      </c>
      <c r="H111" s="597" t="s">
        <v>414</v>
      </c>
      <c r="I111" s="598" t="s">
        <v>414</v>
      </c>
      <c r="J111" s="596" t="s">
        <v>414</v>
      </c>
      <c r="K111" s="596" t="s">
        <v>414</v>
      </c>
      <c r="L111" s="611" t="s">
        <v>414</v>
      </c>
      <c r="M111" s="596" t="s">
        <v>414</v>
      </c>
      <c r="N111" s="599" t="s">
        <v>414</v>
      </c>
      <c r="O111" s="628"/>
    </row>
    <row r="112" spans="1:15" x14ac:dyDescent="0.15">
      <c r="A112" s="886"/>
      <c r="B112" s="888"/>
      <c r="C112" s="601" t="s">
        <v>414</v>
      </c>
      <c r="D112" s="602" t="s">
        <v>414</v>
      </c>
      <c r="E112" s="603" t="s">
        <v>414</v>
      </c>
      <c r="F112" s="603" t="s">
        <v>414</v>
      </c>
      <c r="G112" s="603" t="s">
        <v>414</v>
      </c>
      <c r="H112" s="612" t="s">
        <v>414</v>
      </c>
      <c r="I112" s="605" t="s">
        <v>414</v>
      </c>
      <c r="J112" s="603" t="s">
        <v>414</v>
      </c>
      <c r="K112" s="603" t="s">
        <v>414</v>
      </c>
      <c r="L112" s="603" t="s">
        <v>414</v>
      </c>
      <c r="M112" s="603" t="s">
        <v>414</v>
      </c>
      <c r="N112" s="606" t="s">
        <v>414</v>
      </c>
      <c r="O112" s="629"/>
    </row>
    <row r="113" spans="1:15" x14ac:dyDescent="0.15">
      <c r="A113" s="886"/>
      <c r="B113" s="888"/>
      <c r="C113" s="608" t="s">
        <v>414</v>
      </c>
      <c r="D113" s="609" t="s">
        <v>414</v>
      </c>
      <c r="E113" s="596" t="s">
        <v>414</v>
      </c>
      <c r="F113" s="596" t="s">
        <v>414</v>
      </c>
      <c r="G113" s="596" t="s">
        <v>414</v>
      </c>
      <c r="H113" s="597" t="s">
        <v>414</v>
      </c>
      <c r="I113" s="598" t="s">
        <v>414</v>
      </c>
      <c r="J113" s="596" t="s">
        <v>414</v>
      </c>
      <c r="K113" s="596" t="s">
        <v>414</v>
      </c>
      <c r="L113" s="611" t="s">
        <v>414</v>
      </c>
      <c r="M113" s="596" t="s">
        <v>414</v>
      </c>
      <c r="N113" s="599" t="s">
        <v>414</v>
      </c>
      <c r="O113" s="628"/>
    </row>
    <row r="114" spans="1:15" x14ac:dyDescent="0.15">
      <c r="A114" s="886"/>
      <c r="B114" s="888"/>
      <c r="C114" s="601" t="s">
        <v>414</v>
      </c>
      <c r="D114" s="602" t="s">
        <v>414</v>
      </c>
      <c r="E114" s="603" t="s">
        <v>414</v>
      </c>
      <c r="F114" s="603" t="s">
        <v>414</v>
      </c>
      <c r="G114" s="603" t="s">
        <v>414</v>
      </c>
      <c r="H114" s="612" t="s">
        <v>414</v>
      </c>
      <c r="I114" s="605" t="s">
        <v>414</v>
      </c>
      <c r="J114" s="603" t="s">
        <v>414</v>
      </c>
      <c r="K114" s="603" t="s">
        <v>414</v>
      </c>
      <c r="L114" s="603" t="s">
        <v>414</v>
      </c>
      <c r="M114" s="603" t="s">
        <v>414</v>
      </c>
      <c r="N114" s="606" t="s">
        <v>414</v>
      </c>
      <c r="O114" s="629"/>
    </row>
    <row r="115" spans="1:15" x14ac:dyDescent="0.15">
      <c r="A115" s="886"/>
      <c r="B115" s="888"/>
      <c r="C115" s="608" t="s">
        <v>414</v>
      </c>
      <c r="D115" s="609" t="s">
        <v>414</v>
      </c>
      <c r="E115" s="596" t="s">
        <v>414</v>
      </c>
      <c r="F115" s="596" t="s">
        <v>414</v>
      </c>
      <c r="G115" s="596" t="s">
        <v>414</v>
      </c>
      <c r="H115" s="597" t="s">
        <v>414</v>
      </c>
      <c r="I115" s="598" t="s">
        <v>414</v>
      </c>
      <c r="J115" s="596" t="s">
        <v>414</v>
      </c>
      <c r="K115" s="596" t="s">
        <v>414</v>
      </c>
      <c r="L115" s="611" t="s">
        <v>414</v>
      </c>
      <c r="M115" s="596" t="s">
        <v>414</v>
      </c>
      <c r="N115" s="599" t="s">
        <v>414</v>
      </c>
      <c r="O115" s="628"/>
    </row>
    <row r="116" spans="1:15" x14ac:dyDescent="0.15">
      <c r="A116" s="886"/>
      <c r="B116" s="888"/>
      <c r="C116" s="601" t="s">
        <v>414</v>
      </c>
      <c r="D116" s="602" t="s">
        <v>414</v>
      </c>
      <c r="E116" s="603" t="s">
        <v>414</v>
      </c>
      <c r="F116" s="603" t="s">
        <v>414</v>
      </c>
      <c r="G116" s="603" t="s">
        <v>414</v>
      </c>
      <c r="H116" s="612" t="s">
        <v>414</v>
      </c>
      <c r="I116" s="605" t="s">
        <v>414</v>
      </c>
      <c r="J116" s="603" t="s">
        <v>414</v>
      </c>
      <c r="K116" s="603" t="s">
        <v>414</v>
      </c>
      <c r="L116" s="603" t="s">
        <v>414</v>
      </c>
      <c r="M116" s="603" t="s">
        <v>414</v>
      </c>
      <c r="N116" s="606" t="s">
        <v>414</v>
      </c>
      <c r="O116" s="629"/>
    </row>
    <row r="117" spans="1:15" x14ac:dyDescent="0.15">
      <c r="A117" s="886"/>
      <c r="B117" s="888"/>
      <c r="C117" s="608" t="s">
        <v>414</v>
      </c>
      <c r="D117" s="609" t="s">
        <v>414</v>
      </c>
      <c r="E117" s="596" t="s">
        <v>414</v>
      </c>
      <c r="F117" s="596" t="s">
        <v>414</v>
      </c>
      <c r="G117" s="596" t="s">
        <v>414</v>
      </c>
      <c r="H117" s="597" t="s">
        <v>414</v>
      </c>
      <c r="I117" s="598" t="s">
        <v>414</v>
      </c>
      <c r="J117" s="596" t="s">
        <v>414</v>
      </c>
      <c r="K117" s="596" t="s">
        <v>414</v>
      </c>
      <c r="L117" s="611" t="s">
        <v>414</v>
      </c>
      <c r="M117" s="596" t="s">
        <v>414</v>
      </c>
      <c r="N117" s="599" t="s">
        <v>414</v>
      </c>
      <c r="O117" s="628"/>
    </row>
    <row r="118" spans="1:15" x14ac:dyDescent="0.15">
      <c r="A118" s="886"/>
      <c r="B118" s="888"/>
      <c r="C118" s="601" t="s">
        <v>414</v>
      </c>
      <c r="D118" s="602" t="s">
        <v>414</v>
      </c>
      <c r="E118" s="603" t="s">
        <v>414</v>
      </c>
      <c r="F118" s="603" t="s">
        <v>414</v>
      </c>
      <c r="G118" s="603" t="s">
        <v>414</v>
      </c>
      <c r="H118" s="612" t="s">
        <v>414</v>
      </c>
      <c r="I118" s="605" t="s">
        <v>414</v>
      </c>
      <c r="J118" s="603" t="s">
        <v>414</v>
      </c>
      <c r="K118" s="603" t="s">
        <v>414</v>
      </c>
      <c r="L118" s="603" t="s">
        <v>414</v>
      </c>
      <c r="M118" s="603" t="s">
        <v>414</v>
      </c>
      <c r="N118" s="606" t="s">
        <v>414</v>
      </c>
      <c r="O118" s="629"/>
    </row>
    <row r="119" spans="1:15" x14ac:dyDescent="0.15">
      <c r="A119" s="886"/>
      <c r="B119" s="888"/>
      <c r="C119" s="608" t="s">
        <v>414</v>
      </c>
      <c r="D119" s="609" t="s">
        <v>414</v>
      </c>
      <c r="E119" s="596" t="s">
        <v>414</v>
      </c>
      <c r="F119" s="596" t="s">
        <v>414</v>
      </c>
      <c r="G119" s="596" t="s">
        <v>414</v>
      </c>
      <c r="H119" s="597" t="s">
        <v>414</v>
      </c>
      <c r="I119" s="598" t="s">
        <v>414</v>
      </c>
      <c r="J119" s="596" t="s">
        <v>414</v>
      </c>
      <c r="K119" s="596" t="s">
        <v>414</v>
      </c>
      <c r="L119" s="611" t="s">
        <v>414</v>
      </c>
      <c r="M119" s="596" t="s">
        <v>414</v>
      </c>
      <c r="N119" s="599" t="s">
        <v>414</v>
      </c>
      <c r="O119" s="628"/>
    </row>
    <row r="120" spans="1:15" x14ac:dyDescent="0.15">
      <c r="A120" s="886"/>
      <c r="B120" s="888"/>
      <c r="C120" s="601" t="s">
        <v>414</v>
      </c>
      <c r="D120" s="602" t="s">
        <v>414</v>
      </c>
      <c r="E120" s="603" t="s">
        <v>414</v>
      </c>
      <c r="F120" s="603" t="s">
        <v>414</v>
      </c>
      <c r="G120" s="603" t="s">
        <v>414</v>
      </c>
      <c r="H120" s="612" t="s">
        <v>414</v>
      </c>
      <c r="I120" s="605" t="s">
        <v>414</v>
      </c>
      <c r="J120" s="603" t="s">
        <v>414</v>
      </c>
      <c r="K120" s="603" t="s">
        <v>414</v>
      </c>
      <c r="L120" s="603" t="s">
        <v>414</v>
      </c>
      <c r="M120" s="603" t="s">
        <v>414</v>
      </c>
      <c r="N120" s="606" t="s">
        <v>414</v>
      </c>
      <c r="O120" s="629"/>
    </row>
    <row r="121" spans="1:15" x14ac:dyDescent="0.15">
      <c r="A121" s="886"/>
      <c r="B121" s="888"/>
      <c r="C121" s="608" t="s">
        <v>414</v>
      </c>
      <c r="D121" s="609" t="s">
        <v>414</v>
      </c>
      <c r="E121" s="596" t="s">
        <v>414</v>
      </c>
      <c r="F121" s="596" t="s">
        <v>414</v>
      </c>
      <c r="G121" s="596" t="s">
        <v>414</v>
      </c>
      <c r="H121" s="597" t="s">
        <v>414</v>
      </c>
      <c r="I121" s="598" t="s">
        <v>414</v>
      </c>
      <c r="J121" s="596" t="s">
        <v>414</v>
      </c>
      <c r="K121" s="596" t="s">
        <v>414</v>
      </c>
      <c r="L121" s="611" t="s">
        <v>414</v>
      </c>
      <c r="M121" s="596" t="s">
        <v>414</v>
      </c>
      <c r="N121" s="599" t="s">
        <v>414</v>
      </c>
      <c r="O121" s="628"/>
    </row>
    <row r="122" spans="1:15" x14ac:dyDescent="0.15">
      <c r="A122" s="886"/>
      <c r="B122" s="888"/>
      <c r="C122" s="601" t="s">
        <v>414</v>
      </c>
      <c r="D122" s="602" t="s">
        <v>414</v>
      </c>
      <c r="E122" s="603" t="s">
        <v>414</v>
      </c>
      <c r="F122" s="603" t="s">
        <v>414</v>
      </c>
      <c r="G122" s="603" t="s">
        <v>414</v>
      </c>
      <c r="H122" s="612" t="s">
        <v>414</v>
      </c>
      <c r="I122" s="605" t="s">
        <v>414</v>
      </c>
      <c r="J122" s="603" t="s">
        <v>414</v>
      </c>
      <c r="K122" s="603" t="s">
        <v>414</v>
      </c>
      <c r="L122" s="603" t="s">
        <v>414</v>
      </c>
      <c r="M122" s="603" t="s">
        <v>414</v>
      </c>
      <c r="N122" s="606" t="s">
        <v>414</v>
      </c>
      <c r="O122" s="632"/>
    </row>
    <row r="123" spans="1:15" x14ac:dyDescent="0.15">
      <c r="A123" s="886"/>
      <c r="B123" s="888"/>
      <c r="C123" s="608" t="s">
        <v>414</v>
      </c>
      <c r="D123" s="609" t="s">
        <v>414</v>
      </c>
      <c r="E123" s="596" t="s">
        <v>414</v>
      </c>
      <c r="F123" s="596" t="s">
        <v>414</v>
      </c>
      <c r="G123" s="596" t="s">
        <v>414</v>
      </c>
      <c r="H123" s="597" t="s">
        <v>414</v>
      </c>
      <c r="I123" s="598" t="s">
        <v>414</v>
      </c>
      <c r="J123" s="596" t="s">
        <v>414</v>
      </c>
      <c r="K123" s="596" t="s">
        <v>414</v>
      </c>
      <c r="L123" s="611" t="s">
        <v>414</v>
      </c>
      <c r="M123" s="596" t="s">
        <v>414</v>
      </c>
      <c r="N123" s="599" t="s">
        <v>414</v>
      </c>
      <c r="O123" s="633"/>
    </row>
    <row r="124" spans="1:15" ht="15" thickBot="1" x14ac:dyDescent="0.2">
      <c r="A124" s="886"/>
      <c r="B124" s="634" t="s">
        <v>402</v>
      </c>
      <c r="C124" s="635">
        <f>SUM(C98:C123)</f>
        <v>0</v>
      </c>
      <c r="D124" s="636">
        <f t="shared" ref="D124:N124" si="3">SUM(D98:D123)</f>
        <v>380</v>
      </c>
      <c r="E124" s="636">
        <f t="shared" si="3"/>
        <v>787</v>
      </c>
      <c r="F124" s="636">
        <f t="shared" si="3"/>
        <v>0</v>
      </c>
      <c r="G124" s="636">
        <f t="shared" si="3"/>
        <v>1204</v>
      </c>
      <c r="H124" s="637">
        <f t="shared" si="3"/>
        <v>863</v>
      </c>
      <c r="I124" s="638">
        <f t="shared" si="3"/>
        <v>0</v>
      </c>
      <c r="J124" s="636">
        <f t="shared" si="3"/>
        <v>0</v>
      </c>
      <c r="K124" s="636">
        <f t="shared" si="3"/>
        <v>0</v>
      </c>
      <c r="L124" s="636">
        <f t="shared" si="3"/>
        <v>1498</v>
      </c>
      <c r="M124" s="636">
        <f t="shared" si="3"/>
        <v>623</v>
      </c>
      <c r="N124" s="639">
        <f t="shared" si="3"/>
        <v>0</v>
      </c>
      <c r="O124" s="640">
        <f>SUM(C124:N124)</f>
        <v>5355</v>
      </c>
    </row>
    <row r="125" spans="1:15" x14ac:dyDescent="0.15">
      <c r="A125" s="641"/>
      <c r="B125" s="641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</row>
    <row r="126" spans="1:15" x14ac:dyDescent="0.15">
      <c r="A126" s="644"/>
      <c r="B126" s="645"/>
      <c r="C126" s="646"/>
      <c r="D126" s="647"/>
      <c r="E126" s="647"/>
      <c r="F126" s="647"/>
      <c r="G126" s="647"/>
      <c r="H126" s="647"/>
      <c r="I126" s="647"/>
      <c r="J126" s="647"/>
      <c r="K126" s="647"/>
      <c r="L126" s="647"/>
      <c r="M126" s="647"/>
      <c r="N126" s="647"/>
      <c r="O126" s="647"/>
    </row>
    <row r="127" spans="1:15" ht="19.5" thickBot="1" x14ac:dyDescent="0.2">
      <c r="A127" s="648" t="s">
        <v>403</v>
      </c>
      <c r="B127" s="649"/>
      <c r="C127" s="650"/>
      <c r="D127" s="651"/>
      <c r="E127" s="651"/>
      <c r="F127" s="651"/>
      <c r="G127" s="651"/>
      <c r="H127" s="651"/>
      <c r="I127" s="651"/>
      <c r="J127" s="651"/>
      <c r="K127" s="651"/>
      <c r="L127" s="651"/>
      <c r="M127" s="651"/>
      <c r="N127" s="651"/>
      <c r="O127" s="651"/>
    </row>
    <row r="128" spans="1:15" ht="17.25" thickBot="1" x14ac:dyDescent="0.2">
      <c r="A128" s="652" t="s">
        <v>404</v>
      </c>
      <c r="B128" s="653" t="s">
        <v>405</v>
      </c>
      <c r="C128" s="653" t="s">
        <v>406</v>
      </c>
      <c r="D128" s="653" t="s">
        <v>407</v>
      </c>
      <c r="E128" s="653" t="s">
        <v>408</v>
      </c>
      <c r="F128" s="653" t="s">
        <v>409</v>
      </c>
      <c r="G128" s="653" t="s">
        <v>410</v>
      </c>
      <c r="H128" s="653" t="s">
        <v>411</v>
      </c>
      <c r="I128" s="653" t="s">
        <v>137</v>
      </c>
      <c r="J128" s="653" t="s">
        <v>138</v>
      </c>
      <c r="K128" s="653" t="s">
        <v>139</v>
      </c>
      <c r="L128" s="653" t="s">
        <v>140</v>
      </c>
      <c r="M128" s="653" t="s">
        <v>141</v>
      </c>
      <c r="N128" s="653" t="s">
        <v>142</v>
      </c>
      <c r="O128" s="654" t="s">
        <v>143</v>
      </c>
    </row>
    <row r="129" spans="1:15" x14ac:dyDescent="0.15">
      <c r="A129" s="655" t="s">
        <v>474</v>
      </c>
      <c r="B129" s="656">
        <v>46844</v>
      </c>
      <c r="C129" s="657"/>
      <c r="D129" s="658"/>
      <c r="E129" s="658"/>
      <c r="F129" s="658"/>
      <c r="G129" s="658">
        <v>50</v>
      </c>
      <c r="H129" s="658">
        <v>40</v>
      </c>
      <c r="I129" s="658">
        <v>30</v>
      </c>
      <c r="J129" s="658">
        <v>20</v>
      </c>
      <c r="K129" s="658">
        <v>10</v>
      </c>
      <c r="L129" s="658"/>
      <c r="M129" s="658"/>
      <c r="N129" s="658"/>
      <c r="O129" s="659"/>
    </row>
    <row r="130" spans="1:15" ht="17.25" thickBot="1" x14ac:dyDescent="0.2">
      <c r="A130" s="660"/>
      <c r="B130" s="661"/>
      <c r="C130" s="662"/>
      <c r="D130" s="663"/>
      <c r="E130" s="664"/>
      <c r="F130" s="664"/>
      <c r="G130" s="664"/>
      <c r="H130" s="664"/>
      <c r="I130" s="664"/>
      <c r="J130" s="664"/>
      <c r="K130" s="664"/>
      <c r="L130" s="664"/>
      <c r="M130" s="665"/>
      <c r="N130" s="665"/>
      <c r="O130" s="666"/>
    </row>
    <row r="131" spans="1:15" ht="17.25" thickBot="1" x14ac:dyDescent="0.2">
      <c r="A131" s="667" t="s">
        <v>412</v>
      </c>
      <c r="B131" s="668"/>
      <c r="C131" s="669">
        <f t="shared" ref="C131:O131" si="4">SUM(C129:C130)</f>
        <v>0</v>
      </c>
      <c r="D131" s="669">
        <f t="shared" si="4"/>
        <v>0</v>
      </c>
      <c r="E131" s="669">
        <f t="shared" si="4"/>
        <v>0</v>
      </c>
      <c r="F131" s="669">
        <f t="shared" si="4"/>
        <v>0</v>
      </c>
      <c r="G131" s="669">
        <f t="shared" si="4"/>
        <v>50</v>
      </c>
      <c r="H131" s="669">
        <f t="shared" si="4"/>
        <v>40</v>
      </c>
      <c r="I131" s="669">
        <f t="shared" si="4"/>
        <v>30</v>
      </c>
      <c r="J131" s="669">
        <f t="shared" si="4"/>
        <v>20</v>
      </c>
      <c r="K131" s="669">
        <f t="shared" si="4"/>
        <v>10</v>
      </c>
      <c r="L131" s="669">
        <f t="shared" si="4"/>
        <v>0</v>
      </c>
      <c r="M131" s="669">
        <f t="shared" si="4"/>
        <v>0</v>
      </c>
      <c r="N131" s="669">
        <f t="shared" si="4"/>
        <v>0</v>
      </c>
      <c r="O131" s="669">
        <f t="shared" si="4"/>
        <v>0</v>
      </c>
    </row>
    <row r="132" spans="1:15" ht="16.5" x14ac:dyDescent="0.15">
      <c r="A132" s="670"/>
      <c r="B132" s="671"/>
      <c r="C132" s="672"/>
      <c r="D132" s="671"/>
      <c r="E132" s="670"/>
      <c r="F132" s="670"/>
      <c r="G132" s="670"/>
      <c r="H132" s="670"/>
      <c r="I132" s="670"/>
      <c r="J132" s="670"/>
      <c r="K132" s="670"/>
      <c r="L132" s="670"/>
      <c r="M132" s="670"/>
      <c r="N132" s="670"/>
      <c r="O132" s="670"/>
    </row>
    <row r="133" spans="1:15" ht="16.5" x14ac:dyDescent="0.15">
      <c r="A133" s="670"/>
      <c r="B133" s="671"/>
      <c r="C133" s="672"/>
      <c r="D133" s="671"/>
      <c r="E133" s="670"/>
      <c r="F133" s="670"/>
      <c r="G133" s="670"/>
      <c r="H133" s="670"/>
      <c r="I133" s="670"/>
      <c r="J133" s="670"/>
      <c r="K133" s="670"/>
      <c r="L133" s="670"/>
      <c r="M133" s="670"/>
      <c r="N133" s="670"/>
      <c r="O133" s="670"/>
    </row>
    <row r="134" spans="1:15" ht="16.5" x14ac:dyDescent="0.15">
      <c r="A134" s="670"/>
      <c r="B134" s="671"/>
      <c r="C134" s="672"/>
      <c r="D134" s="671"/>
      <c r="E134" s="670"/>
      <c r="F134" s="670"/>
      <c r="G134" s="670"/>
      <c r="H134" s="670"/>
      <c r="I134" s="670"/>
      <c r="J134" s="670"/>
      <c r="K134" s="670"/>
      <c r="L134" s="670"/>
      <c r="M134" s="670"/>
      <c r="N134" s="670"/>
      <c r="O134" s="670"/>
    </row>
    <row r="135" spans="1:15" ht="16.5" x14ac:dyDescent="0.15">
      <c r="A135" s="670"/>
      <c r="B135" s="671"/>
      <c r="C135" s="672"/>
      <c r="D135" s="671"/>
      <c r="E135" s="670"/>
      <c r="F135" s="670"/>
      <c r="G135" s="670"/>
      <c r="H135" s="670"/>
      <c r="I135" s="670"/>
      <c r="J135" s="670"/>
      <c r="K135" s="670"/>
      <c r="L135" s="670"/>
      <c r="M135" s="670"/>
      <c r="N135" s="670"/>
      <c r="O135" s="670"/>
    </row>
    <row r="136" spans="1:15" ht="27" x14ac:dyDescent="0.15">
      <c r="A136" s="576" t="s">
        <v>475</v>
      </c>
      <c r="B136" s="576"/>
      <c r="C136" s="576"/>
      <c r="D136" s="576"/>
      <c r="E136" s="576"/>
      <c r="F136" s="576"/>
      <c r="G136" s="576"/>
      <c r="H136" s="576"/>
      <c r="I136" s="576"/>
      <c r="J136" s="576"/>
      <c r="K136" s="576"/>
      <c r="L136" s="576"/>
      <c r="M136" s="576"/>
      <c r="N136" s="576"/>
      <c r="O136" s="576"/>
    </row>
    <row r="137" spans="1:15" ht="27" x14ac:dyDescent="0.15">
      <c r="A137" s="578"/>
      <c r="B137" s="579"/>
      <c r="C137" s="579"/>
      <c r="D137" s="579"/>
      <c r="E137" s="579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</row>
    <row r="138" spans="1:15" ht="26.25" thickBot="1" x14ac:dyDescent="0.2">
      <c r="A138" s="580" t="s">
        <v>476</v>
      </c>
      <c r="B138" s="581"/>
      <c r="C138" s="582"/>
      <c r="D138" s="581"/>
      <c r="E138" s="581"/>
      <c r="F138" s="581"/>
      <c r="G138" s="581"/>
      <c r="H138" s="581"/>
      <c r="I138" s="581"/>
      <c r="J138" s="581"/>
      <c r="K138" s="581"/>
      <c r="L138" s="581"/>
      <c r="M138" s="581"/>
      <c r="N138" s="581"/>
      <c r="O138" s="581"/>
    </row>
    <row r="139" spans="1:15" x14ac:dyDescent="0.15">
      <c r="A139" s="889" t="s">
        <v>393</v>
      </c>
      <c r="B139" s="890"/>
      <c r="C139" s="893" t="s">
        <v>394</v>
      </c>
      <c r="D139" s="894"/>
      <c r="E139" s="894"/>
      <c r="F139" s="894"/>
      <c r="G139" s="894"/>
      <c r="H139" s="895"/>
      <c r="I139" s="896" t="s">
        <v>395</v>
      </c>
      <c r="J139" s="894"/>
      <c r="K139" s="894"/>
      <c r="L139" s="894"/>
      <c r="M139" s="894"/>
      <c r="N139" s="897"/>
      <c r="O139" s="877" t="s">
        <v>396</v>
      </c>
    </row>
    <row r="140" spans="1:15" ht="15" thickBot="1" x14ac:dyDescent="0.2">
      <c r="A140" s="891"/>
      <c r="B140" s="892"/>
      <c r="C140" s="584">
        <v>1</v>
      </c>
      <c r="D140" s="585">
        <f>C140+1</f>
        <v>2</v>
      </c>
      <c r="E140" s="585">
        <f t="shared" ref="E140:N140" si="5">D140+1</f>
        <v>3</v>
      </c>
      <c r="F140" s="585">
        <f t="shared" si="5"/>
        <v>4</v>
      </c>
      <c r="G140" s="585">
        <f t="shared" si="5"/>
        <v>5</v>
      </c>
      <c r="H140" s="586">
        <f t="shared" si="5"/>
        <v>6</v>
      </c>
      <c r="I140" s="587">
        <f t="shared" si="5"/>
        <v>7</v>
      </c>
      <c r="J140" s="585">
        <f t="shared" si="5"/>
        <v>8</v>
      </c>
      <c r="K140" s="585">
        <f t="shared" si="5"/>
        <v>9</v>
      </c>
      <c r="L140" s="585">
        <f t="shared" si="5"/>
        <v>10</v>
      </c>
      <c r="M140" s="585">
        <f t="shared" si="5"/>
        <v>11</v>
      </c>
      <c r="N140" s="588">
        <f t="shared" si="5"/>
        <v>12</v>
      </c>
      <c r="O140" s="878"/>
    </row>
    <row r="141" spans="1:15" x14ac:dyDescent="0.15">
      <c r="A141" s="879" t="s">
        <v>397</v>
      </c>
      <c r="B141" s="882" t="s">
        <v>398</v>
      </c>
      <c r="C141" s="589" t="s">
        <v>414</v>
      </c>
      <c r="D141" s="590" t="s">
        <v>414</v>
      </c>
      <c r="E141" s="590" t="s">
        <v>414</v>
      </c>
      <c r="F141" s="590" t="s">
        <v>473</v>
      </c>
      <c r="G141" s="590" t="s">
        <v>414</v>
      </c>
      <c r="H141" s="591" t="s">
        <v>414</v>
      </c>
      <c r="I141" s="592" t="s">
        <v>414</v>
      </c>
      <c r="J141" s="590" t="s">
        <v>414</v>
      </c>
      <c r="K141" s="590" t="s">
        <v>477</v>
      </c>
      <c r="L141" s="590" t="s">
        <v>414</v>
      </c>
      <c r="M141" s="590" t="s">
        <v>414</v>
      </c>
      <c r="N141" s="593" t="s">
        <v>472</v>
      </c>
      <c r="O141" s="594"/>
    </row>
    <row r="142" spans="1:15" x14ac:dyDescent="0.15">
      <c r="A142" s="880"/>
      <c r="B142" s="883"/>
      <c r="C142" s="595" t="s">
        <v>414</v>
      </c>
      <c r="D142" s="596" t="s">
        <v>414</v>
      </c>
      <c r="E142" s="596" t="s">
        <v>414</v>
      </c>
      <c r="F142" s="596">
        <v>1498</v>
      </c>
      <c r="G142" s="596" t="s">
        <v>414</v>
      </c>
      <c r="H142" s="597" t="s">
        <v>414</v>
      </c>
      <c r="I142" s="598" t="s">
        <v>414</v>
      </c>
      <c r="J142" s="596" t="s">
        <v>414</v>
      </c>
      <c r="K142" s="596">
        <v>173</v>
      </c>
      <c r="L142" s="596" t="s">
        <v>414</v>
      </c>
      <c r="M142" s="596" t="s">
        <v>414</v>
      </c>
      <c r="N142" s="599">
        <v>863</v>
      </c>
      <c r="O142" s="600"/>
    </row>
    <row r="143" spans="1:15" x14ac:dyDescent="0.15">
      <c r="A143" s="880"/>
      <c r="B143" s="883"/>
      <c r="C143" s="601" t="s">
        <v>414</v>
      </c>
      <c r="D143" s="602" t="s">
        <v>414</v>
      </c>
      <c r="E143" s="603" t="s">
        <v>414</v>
      </c>
      <c r="F143" s="603" t="s">
        <v>414</v>
      </c>
      <c r="G143" s="603" t="s">
        <v>414</v>
      </c>
      <c r="H143" s="612" t="s">
        <v>414</v>
      </c>
      <c r="I143" s="605" t="s">
        <v>414</v>
      </c>
      <c r="J143" s="603" t="s">
        <v>414</v>
      </c>
      <c r="K143" s="603" t="s">
        <v>414</v>
      </c>
      <c r="L143" s="603" t="s">
        <v>414</v>
      </c>
      <c r="M143" s="603" t="s">
        <v>414</v>
      </c>
      <c r="N143" s="606" t="s">
        <v>478</v>
      </c>
      <c r="O143" s="607"/>
    </row>
    <row r="144" spans="1:15" x14ac:dyDescent="0.15">
      <c r="A144" s="880"/>
      <c r="B144" s="883"/>
      <c r="C144" s="608" t="s">
        <v>414</v>
      </c>
      <c r="D144" s="609" t="s">
        <v>414</v>
      </c>
      <c r="E144" s="596" t="s">
        <v>414</v>
      </c>
      <c r="F144" s="596" t="s">
        <v>414</v>
      </c>
      <c r="G144" s="596" t="s">
        <v>414</v>
      </c>
      <c r="H144" s="597" t="s">
        <v>414</v>
      </c>
      <c r="I144" s="598" t="s">
        <v>414</v>
      </c>
      <c r="J144" s="596" t="s">
        <v>414</v>
      </c>
      <c r="K144" s="596" t="s">
        <v>414</v>
      </c>
      <c r="L144" s="611" t="s">
        <v>414</v>
      </c>
      <c r="M144" s="596" t="s">
        <v>414</v>
      </c>
      <c r="N144" s="599">
        <v>400</v>
      </c>
      <c r="O144" s="600"/>
    </row>
    <row r="145" spans="1:15" x14ac:dyDescent="0.15">
      <c r="A145" s="880"/>
      <c r="B145" s="883"/>
      <c r="C145" s="601" t="s">
        <v>414</v>
      </c>
      <c r="D145" s="602" t="s">
        <v>414</v>
      </c>
      <c r="E145" s="603" t="s">
        <v>414</v>
      </c>
      <c r="F145" s="603" t="s">
        <v>414</v>
      </c>
      <c r="G145" s="603" t="s">
        <v>414</v>
      </c>
      <c r="H145" s="612" t="s">
        <v>414</v>
      </c>
      <c r="I145" s="605" t="s">
        <v>414</v>
      </c>
      <c r="J145" s="603" t="s">
        <v>414</v>
      </c>
      <c r="K145" s="603" t="s">
        <v>414</v>
      </c>
      <c r="L145" s="603" t="s">
        <v>414</v>
      </c>
      <c r="M145" s="603" t="s">
        <v>414</v>
      </c>
      <c r="N145" s="606" t="s">
        <v>479</v>
      </c>
      <c r="O145" s="607"/>
    </row>
    <row r="146" spans="1:15" x14ac:dyDescent="0.15">
      <c r="A146" s="880"/>
      <c r="B146" s="883"/>
      <c r="C146" s="608" t="s">
        <v>414</v>
      </c>
      <c r="D146" s="609" t="s">
        <v>414</v>
      </c>
      <c r="E146" s="596" t="s">
        <v>414</v>
      </c>
      <c r="F146" s="596" t="s">
        <v>414</v>
      </c>
      <c r="G146" s="596" t="s">
        <v>414</v>
      </c>
      <c r="H146" s="597" t="s">
        <v>414</v>
      </c>
      <c r="I146" s="598" t="s">
        <v>414</v>
      </c>
      <c r="J146" s="596" t="s">
        <v>414</v>
      </c>
      <c r="K146" s="596" t="s">
        <v>414</v>
      </c>
      <c r="L146" s="611" t="s">
        <v>414</v>
      </c>
      <c r="M146" s="596" t="s">
        <v>414</v>
      </c>
      <c r="N146" s="599">
        <v>448</v>
      </c>
      <c r="O146" s="600"/>
    </row>
    <row r="147" spans="1:15" x14ac:dyDescent="0.15">
      <c r="A147" s="880"/>
      <c r="B147" s="883"/>
      <c r="C147" s="601" t="s">
        <v>414</v>
      </c>
      <c r="D147" s="602" t="s">
        <v>414</v>
      </c>
      <c r="E147" s="603" t="s">
        <v>414</v>
      </c>
      <c r="F147" s="603" t="s">
        <v>414</v>
      </c>
      <c r="G147" s="603" t="s">
        <v>414</v>
      </c>
      <c r="H147" s="612" t="s">
        <v>414</v>
      </c>
      <c r="I147" s="605" t="s">
        <v>414</v>
      </c>
      <c r="J147" s="603" t="s">
        <v>414</v>
      </c>
      <c r="K147" s="603" t="s">
        <v>414</v>
      </c>
      <c r="L147" s="603" t="s">
        <v>414</v>
      </c>
      <c r="M147" s="603" t="s">
        <v>414</v>
      </c>
      <c r="N147" s="606" t="s">
        <v>480</v>
      </c>
      <c r="O147" s="607"/>
    </row>
    <row r="148" spans="1:15" x14ac:dyDescent="0.15">
      <c r="A148" s="880"/>
      <c r="B148" s="883"/>
      <c r="C148" s="608" t="s">
        <v>414</v>
      </c>
      <c r="D148" s="609" t="s">
        <v>414</v>
      </c>
      <c r="E148" s="596" t="s">
        <v>414</v>
      </c>
      <c r="F148" s="596" t="s">
        <v>414</v>
      </c>
      <c r="G148" s="596" t="s">
        <v>414</v>
      </c>
      <c r="H148" s="597" t="s">
        <v>414</v>
      </c>
      <c r="I148" s="598" t="s">
        <v>414</v>
      </c>
      <c r="J148" s="596" t="s">
        <v>414</v>
      </c>
      <c r="K148" s="596" t="s">
        <v>414</v>
      </c>
      <c r="L148" s="611" t="s">
        <v>414</v>
      </c>
      <c r="M148" s="596" t="s">
        <v>414</v>
      </c>
      <c r="N148" s="599">
        <v>94</v>
      </c>
      <c r="O148" s="600"/>
    </row>
    <row r="149" spans="1:15" x14ac:dyDescent="0.15">
      <c r="A149" s="880"/>
      <c r="B149" s="883"/>
      <c r="C149" s="601" t="s">
        <v>414</v>
      </c>
      <c r="D149" s="602" t="s">
        <v>414</v>
      </c>
      <c r="E149" s="603" t="s">
        <v>414</v>
      </c>
      <c r="F149" s="603" t="s">
        <v>414</v>
      </c>
      <c r="G149" s="603" t="s">
        <v>414</v>
      </c>
      <c r="H149" s="612" t="s">
        <v>414</v>
      </c>
      <c r="I149" s="605" t="s">
        <v>414</v>
      </c>
      <c r="J149" s="603" t="s">
        <v>414</v>
      </c>
      <c r="K149" s="603" t="s">
        <v>414</v>
      </c>
      <c r="L149" s="603" t="s">
        <v>414</v>
      </c>
      <c r="M149" s="603" t="s">
        <v>414</v>
      </c>
      <c r="N149" s="606" t="s">
        <v>481</v>
      </c>
      <c r="O149" s="607"/>
    </row>
    <row r="150" spans="1:15" x14ac:dyDescent="0.15">
      <c r="A150" s="880"/>
      <c r="B150" s="883"/>
      <c r="C150" s="608" t="s">
        <v>414</v>
      </c>
      <c r="D150" s="609" t="s">
        <v>414</v>
      </c>
      <c r="E150" s="596" t="s">
        <v>414</v>
      </c>
      <c r="F150" s="596" t="s">
        <v>414</v>
      </c>
      <c r="G150" s="596" t="s">
        <v>414</v>
      </c>
      <c r="H150" s="597" t="s">
        <v>414</v>
      </c>
      <c r="I150" s="598" t="s">
        <v>414</v>
      </c>
      <c r="J150" s="596" t="s">
        <v>414</v>
      </c>
      <c r="K150" s="596" t="s">
        <v>414</v>
      </c>
      <c r="L150" s="611" t="s">
        <v>414</v>
      </c>
      <c r="M150" s="596" t="s">
        <v>414</v>
      </c>
      <c r="N150" s="599">
        <v>745</v>
      </c>
      <c r="O150" s="600"/>
    </row>
    <row r="151" spans="1:15" x14ac:dyDescent="0.15">
      <c r="A151" s="880"/>
      <c r="B151" s="883"/>
      <c r="C151" s="601" t="s">
        <v>414</v>
      </c>
      <c r="D151" s="602" t="s">
        <v>414</v>
      </c>
      <c r="E151" s="603" t="s">
        <v>414</v>
      </c>
      <c r="F151" s="603" t="s">
        <v>414</v>
      </c>
      <c r="G151" s="603" t="s">
        <v>414</v>
      </c>
      <c r="H151" s="612" t="s">
        <v>414</v>
      </c>
      <c r="I151" s="605" t="s">
        <v>414</v>
      </c>
      <c r="J151" s="603" t="s">
        <v>414</v>
      </c>
      <c r="K151" s="603" t="s">
        <v>414</v>
      </c>
      <c r="L151" s="603" t="s">
        <v>414</v>
      </c>
      <c r="M151" s="603" t="s">
        <v>414</v>
      </c>
      <c r="N151" s="606" t="s">
        <v>482</v>
      </c>
      <c r="O151" s="607"/>
    </row>
    <row r="152" spans="1:15" x14ac:dyDescent="0.15">
      <c r="A152" s="880"/>
      <c r="B152" s="883"/>
      <c r="C152" s="608" t="s">
        <v>414</v>
      </c>
      <c r="D152" s="609" t="s">
        <v>414</v>
      </c>
      <c r="E152" s="596" t="s">
        <v>414</v>
      </c>
      <c r="F152" s="596" t="s">
        <v>414</v>
      </c>
      <c r="G152" s="596" t="s">
        <v>414</v>
      </c>
      <c r="H152" s="597" t="s">
        <v>414</v>
      </c>
      <c r="I152" s="598" t="s">
        <v>414</v>
      </c>
      <c r="J152" s="596" t="s">
        <v>414</v>
      </c>
      <c r="K152" s="596" t="s">
        <v>414</v>
      </c>
      <c r="L152" s="611" t="s">
        <v>414</v>
      </c>
      <c r="M152" s="596" t="s">
        <v>414</v>
      </c>
      <c r="N152" s="599">
        <v>522</v>
      </c>
      <c r="O152" s="600"/>
    </row>
    <row r="153" spans="1:15" x14ac:dyDescent="0.15">
      <c r="A153" s="880"/>
      <c r="B153" s="883"/>
      <c r="C153" s="601" t="s">
        <v>414</v>
      </c>
      <c r="D153" s="602" t="s">
        <v>414</v>
      </c>
      <c r="E153" s="603" t="s">
        <v>414</v>
      </c>
      <c r="F153" s="603" t="s">
        <v>414</v>
      </c>
      <c r="G153" s="603" t="s">
        <v>414</v>
      </c>
      <c r="H153" s="612" t="s">
        <v>414</v>
      </c>
      <c r="I153" s="605" t="s">
        <v>414</v>
      </c>
      <c r="J153" s="603" t="s">
        <v>414</v>
      </c>
      <c r="K153" s="603" t="s">
        <v>414</v>
      </c>
      <c r="L153" s="603" t="s">
        <v>414</v>
      </c>
      <c r="M153" s="603" t="s">
        <v>414</v>
      </c>
      <c r="N153" s="606" t="s">
        <v>483</v>
      </c>
      <c r="O153" s="607"/>
    </row>
    <row r="154" spans="1:15" x14ac:dyDescent="0.15">
      <c r="A154" s="880"/>
      <c r="B154" s="883"/>
      <c r="C154" s="608" t="s">
        <v>414</v>
      </c>
      <c r="D154" s="609" t="s">
        <v>414</v>
      </c>
      <c r="E154" s="596" t="s">
        <v>414</v>
      </c>
      <c r="F154" s="596" t="s">
        <v>414</v>
      </c>
      <c r="G154" s="596" t="s">
        <v>414</v>
      </c>
      <c r="H154" s="597" t="s">
        <v>414</v>
      </c>
      <c r="I154" s="598" t="s">
        <v>414</v>
      </c>
      <c r="J154" s="596" t="s">
        <v>414</v>
      </c>
      <c r="K154" s="596" t="s">
        <v>414</v>
      </c>
      <c r="L154" s="611" t="s">
        <v>414</v>
      </c>
      <c r="M154" s="596" t="s">
        <v>414</v>
      </c>
      <c r="N154" s="599">
        <v>593</v>
      </c>
      <c r="O154" s="600"/>
    </row>
    <row r="155" spans="1:15" x14ac:dyDescent="0.15">
      <c r="A155" s="880"/>
      <c r="B155" s="883"/>
      <c r="C155" s="601" t="s">
        <v>414</v>
      </c>
      <c r="D155" s="602" t="s">
        <v>414</v>
      </c>
      <c r="E155" s="603" t="s">
        <v>414</v>
      </c>
      <c r="F155" s="603" t="s">
        <v>414</v>
      </c>
      <c r="G155" s="603" t="s">
        <v>414</v>
      </c>
      <c r="H155" s="612" t="s">
        <v>414</v>
      </c>
      <c r="I155" s="605" t="s">
        <v>414</v>
      </c>
      <c r="J155" s="603" t="s">
        <v>414</v>
      </c>
      <c r="K155" s="603" t="s">
        <v>414</v>
      </c>
      <c r="L155" s="603" t="s">
        <v>414</v>
      </c>
      <c r="M155" s="603" t="s">
        <v>414</v>
      </c>
      <c r="N155" s="606" t="s">
        <v>414</v>
      </c>
      <c r="O155" s="607"/>
    </row>
    <row r="156" spans="1:15" x14ac:dyDescent="0.15">
      <c r="A156" s="880"/>
      <c r="B156" s="883"/>
      <c r="C156" s="608" t="s">
        <v>414</v>
      </c>
      <c r="D156" s="609" t="s">
        <v>414</v>
      </c>
      <c r="E156" s="596" t="s">
        <v>414</v>
      </c>
      <c r="F156" s="596" t="s">
        <v>414</v>
      </c>
      <c r="G156" s="596" t="s">
        <v>414</v>
      </c>
      <c r="H156" s="597" t="s">
        <v>414</v>
      </c>
      <c r="I156" s="598" t="s">
        <v>414</v>
      </c>
      <c r="J156" s="596" t="s">
        <v>414</v>
      </c>
      <c r="K156" s="596" t="s">
        <v>414</v>
      </c>
      <c r="L156" s="611" t="s">
        <v>414</v>
      </c>
      <c r="M156" s="596" t="s">
        <v>414</v>
      </c>
      <c r="N156" s="599" t="s">
        <v>414</v>
      </c>
      <c r="O156" s="600"/>
    </row>
    <row r="157" spans="1:15" x14ac:dyDescent="0.15">
      <c r="A157" s="880"/>
      <c r="B157" s="883"/>
      <c r="C157" s="601" t="s">
        <v>414</v>
      </c>
      <c r="D157" s="602" t="s">
        <v>414</v>
      </c>
      <c r="E157" s="603" t="s">
        <v>414</v>
      </c>
      <c r="F157" s="603" t="s">
        <v>414</v>
      </c>
      <c r="G157" s="603" t="s">
        <v>414</v>
      </c>
      <c r="H157" s="612" t="s">
        <v>414</v>
      </c>
      <c r="I157" s="605" t="s">
        <v>414</v>
      </c>
      <c r="J157" s="603" t="s">
        <v>414</v>
      </c>
      <c r="K157" s="603" t="s">
        <v>414</v>
      </c>
      <c r="L157" s="603" t="s">
        <v>414</v>
      </c>
      <c r="M157" s="603" t="s">
        <v>414</v>
      </c>
      <c r="N157" s="606" t="s">
        <v>414</v>
      </c>
      <c r="O157" s="607"/>
    </row>
    <row r="158" spans="1:15" x14ac:dyDescent="0.15">
      <c r="A158" s="880"/>
      <c r="B158" s="883"/>
      <c r="C158" s="608" t="s">
        <v>414</v>
      </c>
      <c r="D158" s="609" t="s">
        <v>414</v>
      </c>
      <c r="E158" s="596" t="s">
        <v>414</v>
      </c>
      <c r="F158" s="596" t="s">
        <v>414</v>
      </c>
      <c r="G158" s="596" t="s">
        <v>414</v>
      </c>
      <c r="H158" s="597" t="s">
        <v>414</v>
      </c>
      <c r="I158" s="598" t="s">
        <v>414</v>
      </c>
      <c r="J158" s="596" t="s">
        <v>414</v>
      </c>
      <c r="K158" s="596" t="s">
        <v>414</v>
      </c>
      <c r="L158" s="611" t="s">
        <v>414</v>
      </c>
      <c r="M158" s="596" t="s">
        <v>414</v>
      </c>
      <c r="N158" s="599" t="s">
        <v>414</v>
      </c>
      <c r="O158" s="600"/>
    </row>
    <row r="159" spans="1:15" x14ac:dyDescent="0.15">
      <c r="A159" s="880"/>
      <c r="B159" s="883"/>
      <c r="C159" s="601" t="s">
        <v>414</v>
      </c>
      <c r="D159" s="602" t="s">
        <v>414</v>
      </c>
      <c r="E159" s="603" t="s">
        <v>414</v>
      </c>
      <c r="F159" s="603" t="s">
        <v>414</v>
      </c>
      <c r="G159" s="603" t="s">
        <v>414</v>
      </c>
      <c r="H159" s="612" t="s">
        <v>414</v>
      </c>
      <c r="I159" s="605" t="s">
        <v>414</v>
      </c>
      <c r="J159" s="603" t="s">
        <v>414</v>
      </c>
      <c r="K159" s="603" t="s">
        <v>414</v>
      </c>
      <c r="L159" s="603" t="s">
        <v>414</v>
      </c>
      <c r="M159" s="603" t="s">
        <v>414</v>
      </c>
      <c r="N159" s="606" t="s">
        <v>414</v>
      </c>
      <c r="O159" s="607"/>
    </row>
    <row r="160" spans="1:15" x14ac:dyDescent="0.15">
      <c r="A160" s="880"/>
      <c r="B160" s="883"/>
      <c r="C160" s="608" t="s">
        <v>414</v>
      </c>
      <c r="D160" s="609" t="s">
        <v>414</v>
      </c>
      <c r="E160" s="596" t="s">
        <v>414</v>
      </c>
      <c r="F160" s="596" t="s">
        <v>414</v>
      </c>
      <c r="G160" s="596" t="s">
        <v>414</v>
      </c>
      <c r="H160" s="597" t="s">
        <v>414</v>
      </c>
      <c r="I160" s="598" t="s">
        <v>414</v>
      </c>
      <c r="J160" s="596" t="s">
        <v>414</v>
      </c>
      <c r="K160" s="596" t="s">
        <v>414</v>
      </c>
      <c r="L160" s="611" t="s">
        <v>414</v>
      </c>
      <c r="M160" s="596" t="s">
        <v>414</v>
      </c>
      <c r="N160" s="599" t="s">
        <v>414</v>
      </c>
      <c r="O160" s="600"/>
    </row>
    <row r="161" spans="1:15" x14ac:dyDescent="0.15">
      <c r="A161" s="880"/>
      <c r="B161" s="883"/>
      <c r="C161" s="601" t="s">
        <v>414</v>
      </c>
      <c r="D161" s="602" t="s">
        <v>414</v>
      </c>
      <c r="E161" s="603" t="s">
        <v>414</v>
      </c>
      <c r="F161" s="603" t="s">
        <v>414</v>
      </c>
      <c r="G161" s="603" t="s">
        <v>414</v>
      </c>
      <c r="H161" s="612" t="s">
        <v>414</v>
      </c>
      <c r="I161" s="605" t="s">
        <v>414</v>
      </c>
      <c r="J161" s="603" t="s">
        <v>414</v>
      </c>
      <c r="K161" s="603" t="s">
        <v>414</v>
      </c>
      <c r="L161" s="603" t="s">
        <v>414</v>
      </c>
      <c r="M161" s="603" t="s">
        <v>414</v>
      </c>
      <c r="N161" s="606" t="s">
        <v>414</v>
      </c>
      <c r="O161" s="607"/>
    </row>
    <row r="162" spans="1:15" x14ac:dyDescent="0.15">
      <c r="A162" s="880"/>
      <c r="B162" s="883"/>
      <c r="C162" s="608" t="s">
        <v>414</v>
      </c>
      <c r="D162" s="609" t="s">
        <v>414</v>
      </c>
      <c r="E162" s="596" t="s">
        <v>414</v>
      </c>
      <c r="F162" s="596" t="s">
        <v>414</v>
      </c>
      <c r="G162" s="596" t="s">
        <v>414</v>
      </c>
      <c r="H162" s="597" t="s">
        <v>414</v>
      </c>
      <c r="I162" s="598" t="s">
        <v>414</v>
      </c>
      <c r="J162" s="596" t="s">
        <v>414</v>
      </c>
      <c r="K162" s="596" t="s">
        <v>414</v>
      </c>
      <c r="L162" s="611" t="s">
        <v>414</v>
      </c>
      <c r="M162" s="596" t="s">
        <v>414</v>
      </c>
      <c r="N162" s="599" t="s">
        <v>414</v>
      </c>
      <c r="O162" s="600"/>
    </row>
    <row r="163" spans="1:15" x14ac:dyDescent="0.15">
      <c r="A163" s="880"/>
      <c r="B163" s="883"/>
      <c r="C163" s="601" t="s">
        <v>414</v>
      </c>
      <c r="D163" s="602" t="s">
        <v>414</v>
      </c>
      <c r="E163" s="603" t="s">
        <v>414</v>
      </c>
      <c r="F163" s="603" t="s">
        <v>414</v>
      </c>
      <c r="G163" s="603" t="s">
        <v>414</v>
      </c>
      <c r="H163" s="612" t="s">
        <v>414</v>
      </c>
      <c r="I163" s="605" t="s">
        <v>414</v>
      </c>
      <c r="J163" s="603" t="s">
        <v>414</v>
      </c>
      <c r="K163" s="603" t="s">
        <v>414</v>
      </c>
      <c r="L163" s="603" t="s">
        <v>414</v>
      </c>
      <c r="M163" s="603" t="s">
        <v>414</v>
      </c>
      <c r="N163" s="606" t="s">
        <v>414</v>
      </c>
      <c r="O163" s="607"/>
    </row>
    <row r="164" spans="1:15" x14ac:dyDescent="0.15">
      <c r="A164" s="880"/>
      <c r="B164" s="883"/>
      <c r="C164" s="608" t="s">
        <v>414</v>
      </c>
      <c r="D164" s="609" t="s">
        <v>414</v>
      </c>
      <c r="E164" s="596" t="s">
        <v>414</v>
      </c>
      <c r="F164" s="596" t="s">
        <v>414</v>
      </c>
      <c r="G164" s="596" t="s">
        <v>414</v>
      </c>
      <c r="H164" s="597" t="s">
        <v>414</v>
      </c>
      <c r="I164" s="598" t="s">
        <v>414</v>
      </c>
      <c r="J164" s="596" t="s">
        <v>414</v>
      </c>
      <c r="K164" s="596" t="s">
        <v>414</v>
      </c>
      <c r="L164" s="611" t="s">
        <v>414</v>
      </c>
      <c r="M164" s="596" t="s">
        <v>414</v>
      </c>
      <c r="N164" s="599" t="s">
        <v>414</v>
      </c>
      <c r="O164" s="600"/>
    </row>
    <row r="165" spans="1:15" x14ac:dyDescent="0.15">
      <c r="A165" s="880"/>
      <c r="B165" s="883"/>
      <c r="C165" s="601" t="s">
        <v>414</v>
      </c>
      <c r="D165" s="602" t="s">
        <v>414</v>
      </c>
      <c r="E165" s="603" t="s">
        <v>414</v>
      </c>
      <c r="F165" s="603" t="s">
        <v>414</v>
      </c>
      <c r="G165" s="603" t="s">
        <v>414</v>
      </c>
      <c r="H165" s="612" t="s">
        <v>414</v>
      </c>
      <c r="I165" s="605" t="s">
        <v>414</v>
      </c>
      <c r="J165" s="603" t="s">
        <v>414</v>
      </c>
      <c r="K165" s="603" t="s">
        <v>414</v>
      </c>
      <c r="L165" s="603" t="s">
        <v>414</v>
      </c>
      <c r="M165" s="603" t="s">
        <v>414</v>
      </c>
      <c r="N165" s="606" t="s">
        <v>414</v>
      </c>
      <c r="O165" s="607"/>
    </row>
    <row r="166" spans="1:15" x14ac:dyDescent="0.15">
      <c r="A166" s="880"/>
      <c r="B166" s="883"/>
      <c r="C166" s="608" t="s">
        <v>414</v>
      </c>
      <c r="D166" s="609" t="s">
        <v>414</v>
      </c>
      <c r="E166" s="596" t="s">
        <v>414</v>
      </c>
      <c r="F166" s="596" t="s">
        <v>414</v>
      </c>
      <c r="G166" s="596" t="s">
        <v>414</v>
      </c>
      <c r="H166" s="597" t="s">
        <v>414</v>
      </c>
      <c r="I166" s="598" t="s">
        <v>414</v>
      </c>
      <c r="J166" s="596" t="s">
        <v>414</v>
      </c>
      <c r="K166" s="596" t="s">
        <v>414</v>
      </c>
      <c r="L166" s="611" t="s">
        <v>414</v>
      </c>
      <c r="M166" s="596" t="s">
        <v>414</v>
      </c>
      <c r="N166" s="599" t="s">
        <v>414</v>
      </c>
      <c r="O166" s="600"/>
    </row>
    <row r="167" spans="1:15" x14ac:dyDescent="0.15">
      <c r="A167" s="880"/>
      <c r="B167" s="883"/>
      <c r="C167" s="613" t="s">
        <v>414</v>
      </c>
      <c r="D167" s="614" t="s">
        <v>414</v>
      </c>
      <c r="E167" s="615" t="s">
        <v>414</v>
      </c>
      <c r="F167" s="615" t="s">
        <v>414</v>
      </c>
      <c r="G167" s="615" t="s">
        <v>414</v>
      </c>
      <c r="H167" s="616" t="s">
        <v>414</v>
      </c>
      <c r="I167" s="617" t="s">
        <v>414</v>
      </c>
      <c r="J167" s="615" t="s">
        <v>414</v>
      </c>
      <c r="K167" s="615" t="s">
        <v>414</v>
      </c>
      <c r="L167" s="618" t="s">
        <v>414</v>
      </c>
      <c r="M167" s="615" t="s">
        <v>414</v>
      </c>
      <c r="N167" s="619" t="s">
        <v>414</v>
      </c>
      <c r="O167" s="620"/>
    </row>
    <row r="168" spans="1:15" x14ac:dyDescent="0.15">
      <c r="A168" s="880"/>
      <c r="B168" s="884"/>
      <c r="C168" s="613" t="s">
        <v>414</v>
      </c>
      <c r="D168" s="614" t="s">
        <v>414</v>
      </c>
      <c r="E168" s="615" t="s">
        <v>414</v>
      </c>
      <c r="F168" s="615" t="s">
        <v>414</v>
      </c>
      <c r="G168" s="615" t="s">
        <v>414</v>
      </c>
      <c r="H168" s="616" t="s">
        <v>414</v>
      </c>
      <c r="I168" s="617" t="s">
        <v>414</v>
      </c>
      <c r="J168" s="615" t="s">
        <v>414</v>
      </c>
      <c r="K168" s="615" t="s">
        <v>414</v>
      </c>
      <c r="L168" s="618" t="s">
        <v>414</v>
      </c>
      <c r="M168" s="615" t="s">
        <v>414</v>
      </c>
      <c r="N168" s="619" t="s">
        <v>414</v>
      </c>
      <c r="O168" s="620"/>
    </row>
    <row r="169" spans="1:15" ht="15" thickBot="1" x14ac:dyDescent="0.2">
      <c r="A169" s="881"/>
      <c r="B169" s="621" t="s">
        <v>399</v>
      </c>
      <c r="C169" s="720">
        <v>989</v>
      </c>
      <c r="D169" s="720">
        <v>846</v>
      </c>
      <c r="E169" s="720">
        <v>604</v>
      </c>
      <c r="F169" s="720">
        <v>547</v>
      </c>
      <c r="G169" s="720">
        <v>507</v>
      </c>
      <c r="H169" s="720">
        <v>466</v>
      </c>
      <c r="I169" s="720">
        <v>442</v>
      </c>
      <c r="J169" s="720">
        <v>420</v>
      </c>
      <c r="K169" s="720">
        <v>424</v>
      </c>
      <c r="L169" s="720">
        <v>455</v>
      </c>
      <c r="M169" s="720">
        <v>447</v>
      </c>
      <c r="N169" s="720">
        <v>555</v>
      </c>
      <c r="O169" s="624">
        <f>SUM(C169:N169)</f>
        <v>6702</v>
      </c>
    </row>
    <row r="170" spans="1:15" x14ac:dyDescent="0.15">
      <c r="A170" s="885" t="s">
        <v>400</v>
      </c>
      <c r="B170" s="887" t="s">
        <v>401</v>
      </c>
      <c r="C170" s="589" t="s">
        <v>414</v>
      </c>
      <c r="D170" s="590" t="s">
        <v>414</v>
      </c>
      <c r="E170" s="590" t="s">
        <v>414</v>
      </c>
      <c r="F170" s="590" t="s">
        <v>414</v>
      </c>
      <c r="G170" s="590" t="s">
        <v>414</v>
      </c>
      <c r="H170" s="591" t="s">
        <v>414</v>
      </c>
      <c r="I170" s="592" t="s">
        <v>414</v>
      </c>
      <c r="J170" s="590" t="s">
        <v>477</v>
      </c>
      <c r="K170" s="590" t="s">
        <v>414</v>
      </c>
      <c r="L170" s="590" t="s">
        <v>478</v>
      </c>
      <c r="M170" s="590" t="s">
        <v>479</v>
      </c>
      <c r="N170" s="593" t="s">
        <v>481</v>
      </c>
      <c r="O170" s="626"/>
    </row>
    <row r="171" spans="1:15" x14ac:dyDescent="0.15">
      <c r="A171" s="886"/>
      <c r="B171" s="888"/>
      <c r="C171" s="595" t="s">
        <v>414</v>
      </c>
      <c r="D171" s="596" t="s">
        <v>414</v>
      </c>
      <c r="E171" s="596" t="s">
        <v>414</v>
      </c>
      <c r="F171" s="596" t="s">
        <v>414</v>
      </c>
      <c r="G171" s="596" t="s">
        <v>414</v>
      </c>
      <c r="H171" s="597" t="s">
        <v>414</v>
      </c>
      <c r="I171" s="598" t="s">
        <v>414</v>
      </c>
      <c r="J171" s="596">
        <v>173</v>
      </c>
      <c r="K171" s="596" t="s">
        <v>414</v>
      </c>
      <c r="L171" s="596">
        <v>400</v>
      </c>
      <c r="M171" s="596">
        <v>448</v>
      </c>
      <c r="N171" s="599">
        <v>745</v>
      </c>
      <c r="O171" s="628"/>
    </row>
    <row r="172" spans="1:15" x14ac:dyDescent="0.15">
      <c r="A172" s="886"/>
      <c r="B172" s="888"/>
      <c r="C172" s="601" t="s">
        <v>414</v>
      </c>
      <c r="D172" s="602" t="s">
        <v>414</v>
      </c>
      <c r="E172" s="603" t="s">
        <v>414</v>
      </c>
      <c r="F172" s="603" t="s">
        <v>414</v>
      </c>
      <c r="G172" s="603" t="s">
        <v>414</v>
      </c>
      <c r="H172" s="612" t="s">
        <v>414</v>
      </c>
      <c r="I172" s="605" t="s">
        <v>414</v>
      </c>
      <c r="J172" s="603" t="s">
        <v>414</v>
      </c>
      <c r="K172" s="603" t="s">
        <v>414</v>
      </c>
      <c r="L172" s="603" t="s">
        <v>414</v>
      </c>
      <c r="M172" s="603" t="s">
        <v>480</v>
      </c>
      <c r="N172" s="606" t="s">
        <v>482</v>
      </c>
      <c r="O172" s="629"/>
    </row>
    <row r="173" spans="1:15" x14ac:dyDescent="0.15">
      <c r="A173" s="886"/>
      <c r="B173" s="888"/>
      <c r="C173" s="608" t="s">
        <v>414</v>
      </c>
      <c r="D173" s="609" t="s">
        <v>414</v>
      </c>
      <c r="E173" s="596" t="s">
        <v>414</v>
      </c>
      <c r="F173" s="596" t="s">
        <v>414</v>
      </c>
      <c r="G173" s="596" t="s">
        <v>414</v>
      </c>
      <c r="H173" s="597" t="s">
        <v>414</v>
      </c>
      <c r="I173" s="598" t="s">
        <v>414</v>
      </c>
      <c r="J173" s="596" t="s">
        <v>414</v>
      </c>
      <c r="K173" s="596" t="s">
        <v>414</v>
      </c>
      <c r="L173" s="611" t="s">
        <v>414</v>
      </c>
      <c r="M173" s="596">
        <v>94</v>
      </c>
      <c r="N173" s="599">
        <v>522</v>
      </c>
      <c r="O173" s="628"/>
    </row>
    <row r="174" spans="1:15" x14ac:dyDescent="0.15">
      <c r="A174" s="886"/>
      <c r="B174" s="888"/>
      <c r="C174" s="601" t="s">
        <v>414</v>
      </c>
      <c r="D174" s="602" t="s">
        <v>414</v>
      </c>
      <c r="E174" s="603" t="s">
        <v>414</v>
      </c>
      <c r="F174" s="603" t="s">
        <v>414</v>
      </c>
      <c r="G174" s="603" t="s">
        <v>414</v>
      </c>
      <c r="H174" s="612" t="s">
        <v>414</v>
      </c>
      <c r="I174" s="605" t="s">
        <v>414</v>
      </c>
      <c r="J174" s="603" t="s">
        <v>414</v>
      </c>
      <c r="K174" s="603" t="s">
        <v>414</v>
      </c>
      <c r="L174" s="603" t="s">
        <v>414</v>
      </c>
      <c r="M174" s="603" t="s">
        <v>414</v>
      </c>
      <c r="N174" s="606" t="s">
        <v>483</v>
      </c>
      <c r="O174" s="629"/>
    </row>
    <row r="175" spans="1:15" x14ac:dyDescent="0.15">
      <c r="A175" s="886"/>
      <c r="B175" s="888"/>
      <c r="C175" s="608" t="s">
        <v>414</v>
      </c>
      <c r="D175" s="609" t="s">
        <v>414</v>
      </c>
      <c r="E175" s="596" t="s">
        <v>414</v>
      </c>
      <c r="F175" s="596" t="s">
        <v>414</v>
      </c>
      <c r="G175" s="596" t="s">
        <v>414</v>
      </c>
      <c r="H175" s="597" t="s">
        <v>414</v>
      </c>
      <c r="I175" s="598" t="s">
        <v>414</v>
      </c>
      <c r="J175" s="596" t="s">
        <v>414</v>
      </c>
      <c r="K175" s="596" t="s">
        <v>414</v>
      </c>
      <c r="L175" s="611" t="s">
        <v>414</v>
      </c>
      <c r="M175" s="596" t="s">
        <v>414</v>
      </c>
      <c r="N175" s="599">
        <v>593</v>
      </c>
      <c r="O175" s="628"/>
    </row>
    <row r="176" spans="1:15" x14ac:dyDescent="0.15">
      <c r="A176" s="886"/>
      <c r="B176" s="888"/>
      <c r="C176" s="601" t="s">
        <v>414</v>
      </c>
      <c r="D176" s="602" t="s">
        <v>414</v>
      </c>
      <c r="E176" s="603" t="s">
        <v>414</v>
      </c>
      <c r="F176" s="603" t="s">
        <v>414</v>
      </c>
      <c r="G176" s="603" t="s">
        <v>414</v>
      </c>
      <c r="H176" s="612" t="s">
        <v>414</v>
      </c>
      <c r="I176" s="605" t="s">
        <v>414</v>
      </c>
      <c r="J176" s="603" t="s">
        <v>414</v>
      </c>
      <c r="K176" s="603" t="s">
        <v>414</v>
      </c>
      <c r="L176" s="603" t="s">
        <v>414</v>
      </c>
      <c r="M176" s="603" t="s">
        <v>414</v>
      </c>
      <c r="N176" s="630" t="s">
        <v>414</v>
      </c>
      <c r="O176" s="629"/>
    </row>
    <row r="177" spans="1:15" x14ac:dyDescent="0.15">
      <c r="A177" s="886"/>
      <c r="B177" s="888"/>
      <c r="C177" s="608" t="s">
        <v>414</v>
      </c>
      <c r="D177" s="609" t="s">
        <v>414</v>
      </c>
      <c r="E177" s="596" t="s">
        <v>414</v>
      </c>
      <c r="F177" s="596" t="s">
        <v>414</v>
      </c>
      <c r="G177" s="596" t="s">
        <v>414</v>
      </c>
      <c r="H177" s="597" t="s">
        <v>414</v>
      </c>
      <c r="I177" s="598" t="s">
        <v>414</v>
      </c>
      <c r="J177" s="596" t="s">
        <v>414</v>
      </c>
      <c r="K177" s="596" t="s">
        <v>414</v>
      </c>
      <c r="L177" s="611" t="s">
        <v>414</v>
      </c>
      <c r="M177" s="596" t="s">
        <v>414</v>
      </c>
      <c r="N177" s="631" t="s">
        <v>414</v>
      </c>
      <c r="O177" s="628"/>
    </row>
    <row r="178" spans="1:15" x14ac:dyDescent="0.15">
      <c r="A178" s="886"/>
      <c r="B178" s="888"/>
      <c r="C178" s="601" t="s">
        <v>414</v>
      </c>
      <c r="D178" s="602" t="s">
        <v>414</v>
      </c>
      <c r="E178" s="603" t="s">
        <v>414</v>
      </c>
      <c r="F178" s="603" t="s">
        <v>414</v>
      </c>
      <c r="G178" s="603" t="s">
        <v>414</v>
      </c>
      <c r="H178" s="612" t="s">
        <v>414</v>
      </c>
      <c r="I178" s="605" t="s">
        <v>414</v>
      </c>
      <c r="J178" s="603" t="s">
        <v>414</v>
      </c>
      <c r="K178" s="603" t="s">
        <v>414</v>
      </c>
      <c r="L178" s="603" t="s">
        <v>414</v>
      </c>
      <c r="M178" s="603" t="s">
        <v>414</v>
      </c>
      <c r="N178" s="606" t="s">
        <v>414</v>
      </c>
      <c r="O178" s="629"/>
    </row>
    <row r="179" spans="1:15" x14ac:dyDescent="0.15">
      <c r="A179" s="886"/>
      <c r="B179" s="888"/>
      <c r="C179" s="608" t="s">
        <v>414</v>
      </c>
      <c r="D179" s="609" t="s">
        <v>414</v>
      </c>
      <c r="E179" s="596" t="s">
        <v>414</v>
      </c>
      <c r="F179" s="596" t="s">
        <v>414</v>
      </c>
      <c r="G179" s="596" t="s">
        <v>414</v>
      </c>
      <c r="H179" s="597" t="s">
        <v>414</v>
      </c>
      <c r="I179" s="598" t="s">
        <v>414</v>
      </c>
      <c r="J179" s="596" t="s">
        <v>414</v>
      </c>
      <c r="K179" s="596" t="s">
        <v>414</v>
      </c>
      <c r="L179" s="611" t="s">
        <v>414</v>
      </c>
      <c r="M179" s="596" t="s">
        <v>414</v>
      </c>
      <c r="N179" s="599" t="s">
        <v>414</v>
      </c>
      <c r="O179" s="628"/>
    </row>
    <row r="180" spans="1:15" x14ac:dyDescent="0.15">
      <c r="A180" s="886"/>
      <c r="B180" s="888"/>
      <c r="C180" s="601" t="s">
        <v>414</v>
      </c>
      <c r="D180" s="602" t="s">
        <v>414</v>
      </c>
      <c r="E180" s="603" t="s">
        <v>414</v>
      </c>
      <c r="F180" s="603" t="s">
        <v>414</v>
      </c>
      <c r="G180" s="603" t="s">
        <v>414</v>
      </c>
      <c r="H180" s="612" t="s">
        <v>414</v>
      </c>
      <c r="I180" s="605" t="s">
        <v>414</v>
      </c>
      <c r="J180" s="603" t="s">
        <v>414</v>
      </c>
      <c r="K180" s="603" t="s">
        <v>414</v>
      </c>
      <c r="L180" s="603" t="s">
        <v>414</v>
      </c>
      <c r="M180" s="603" t="s">
        <v>414</v>
      </c>
      <c r="N180" s="606" t="s">
        <v>414</v>
      </c>
      <c r="O180" s="629"/>
    </row>
    <row r="181" spans="1:15" x14ac:dyDescent="0.15">
      <c r="A181" s="886"/>
      <c r="B181" s="888"/>
      <c r="C181" s="608" t="s">
        <v>414</v>
      </c>
      <c r="D181" s="609" t="s">
        <v>414</v>
      </c>
      <c r="E181" s="596" t="s">
        <v>414</v>
      </c>
      <c r="F181" s="596" t="s">
        <v>414</v>
      </c>
      <c r="G181" s="596" t="s">
        <v>414</v>
      </c>
      <c r="H181" s="597" t="s">
        <v>414</v>
      </c>
      <c r="I181" s="598" t="s">
        <v>414</v>
      </c>
      <c r="J181" s="596" t="s">
        <v>414</v>
      </c>
      <c r="K181" s="596" t="s">
        <v>414</v>
      </c>
      <c r="L181" s="611" t="s">
        <v>414</v>
      </c>
      <c r="M181" s="596" t="s">
        <v>414</v>
      </c>
      <c r="N181" s="599" t="s">
        <v>414</v>
      </c>
      <c r="O181" s="628"/>
    </row>
    <row r="182" spans="1:15" x14ac:dyDescent="0.15">
      <c r="A182" s="886"/>
      <c r="B182" s="888"/>
      <c r="C182" s="601" t="s">
        <v>414</v>
      </c>
      <c r="D182" s="602" t="s">
        <v>414</v>
      </c>
      <c r="E182" s="603" t="s">
        <v>414</v>
      </c>
      <c r="F182" s="603" t="s">
        <v>414</v>
      </c>
      <c r="G182" s="603" t="s">
        <v>414</v>
      </c>
      <c r="H182" s="612" t="s">
        <v>414</v>
      </c>
      <c r="I182" s="605" t="s">
        <v>414</v>
      </c>
      <c r="J182" s="603" t="s">
        <v>414</v>
      </c>
      <c r="K182" s="603" t="s">
        <v>414</v>
      </c>
      <c r="L182" s="603" t="s">
        <v>414</v>
      </c>
      <c r="M182" s="603" t="s">
        <v>414</v>
      </c>
      <c r="N182" s="606" t="s">
        <v>414</v>
      </c>
      <c r="O182" s="629"/>
    </row>
    <row r="183" spans="1:15" x14ac:dyDescent="0.15">
      <c r="A183" s="886"/>
      <c r="B183" s="888"/>
      <c r="C183" s="608" t="s">
        <v>414</v>
      </c>
      <c r="D183" s="609" t="s">
        <v>414</v>
      </c>
      <c r="E183" s="596" t="s">
        <v>414</v>
      </c>
      <c r="F183" s="596" t="s">
        <v>414</v>
      </c>
      <c r="G183" s="596" t="s">
        <v>414</v>
      </c>
      <c r="H183" s="597" t="s">
        <v>414</v>
      </c>
      <c r="I183" s="598" t="s">
        <v>414</v>
      </c>
      <c r="J183" s="596" t="s">
        <v>414</v>
      </c>
      <c r="K183" s="596" t="s">
        <v>414</v>
      </c>
      <c r="L183" s="611" t="s">
        <v>414</v>
      </c>
      <c r="M183" s="596" t="s">
        <v>414</v>
      </c>
      <c r="N183" s="599" t="s">
        <v>414</v>
      </c>
      <c r="O183" s="628"/>
    </row>
    <row r="184" spans="1:15" x14ac:dyDescent="0.15">
      <c r="A184" s="886"/>
      <c r="B184" s="888"/>
      <c r="C184" s="601" t="s">
        <v>414</v>
      </c>
      <c r="D184" s="602" t="s">
        <v>414</v>
      </c>
      <c r="E184" s="603" t="s">
        <v>414</v>
      </c>
      <c r="F184" s="603" t="s">
        <v>414</v>
      </c>
      <c r="G184" s="603" t="s">
        <v>414</v>
      </c>
      <c r="H184" s="612" t="s">
        <v>414</v>
      </c>
      <c r="I184" s="605" t="s">
        <v>414</v>
      </c>
      <c r="J184" s="603" t="s">
        <v>414</v>
      </c>
      <c r="K184" s="603" t="s">
        <v>414</v>
      </c>
      <c r="L184" s="603" t="s">
        <v>414</v>
      </c>
      <c r="M184" s="603" t="s">
        <v>414</v>
      </c>
      <c r="N184" s="606" t="s">
        <v>414</v>
      </c>
      <c r="O184" s="629"/>
    </row>
    <row r="185" spans="1:15" x14ac:dyDescent="0.15">
      <c r="A185" s="886"/>
      <c r="B185" s="888"/>
      <c r="C185" s="608" t="s">
        <v>414</v>
      </c>
      <c r="D185" s="609" t="s">
        <v>414</v>
      </c>
      <c r="E185" s="596" t="s">
        <v>414</v>
      </c>
      <c r="F185" s="596" t="s">
        <v>414</v>
      </c>
      <c r="G185" s="596" t="s">
        <v>414</v>
      </c>
      <c r="H185" s="597" t="s">
        <v>414</v>
      </c>
      <c r="I185" s="598" t="s">
        <v>414</v>
      </c>
      <c r="J185" s="596" t="s">
        <v>414</v>
      </c>
      <c r="K185" s="596" t="s">
        <v>414</v>
      </c>
      <c r="L185" s="611" t="s">
        <v>414</v>
      </c>
      <c r="M185" s="596" t="s">
        <v>414</v>
      </c>
      <c r="N185" s="599" t="s">
        <v>414</v>
      </c>
      <c r="O185" s="628"/>
    </row>
    <row r="186" spans="1:15" x14ac:dyDescent="0.15">
      <c r="A186" s="886"/>
      <c r="B186" s="888"/>
      <c r="C186" s="601" t="s">
        <v>414</v>
      </c>
      <c r="D186" s="602" t="s">
        <v>414</v>
      </c>
      <c r="E186" s="603" t="s">
        <v>414</v>
      </c>
      <c r="F186" s="603" t="s">
        <v>414</v>
      </c>
      <c r="G186" s="603" t="s">
        <v>414</v>
      </c>
      <c r="H186" s="612" t="s">
        <v>414</v>
      </c>
      <c r="I186" s="605" t="s">
        <v>414</v>
      </c>
      <c r="J186" s="603" t="s">
        <v>414</v>
      </c>
      <c r="K186" s="603" t="s">
        <v>414</v>
      </c>
      <c r="L186" s="603" t="s">
        <v>414</v>
      </c>
      <c r="M186" s="603" t="s">
        <v>414</v>
      </c>
      <c r="N186" s="606" t="s">
        <v>414</v>
      </c>
      <c r="O186" s="629"/>
    </row>
    <row r="187" spans="1:15" x14ac:dyDescent="0.15">
      <c r="A187" s="886"/>
      <c r="B187" s="888"/>
      <c r="C187" s="608" t="s">
        <v>414</v>
      </c>
      <c r="D187" s="609" t="s">
        <v>414</v>
      </c>
      <c r="E187" s="596" t="s">
        <v>414</v>
      </c>
      <c r="F187" s="596" t="s">
        <v>414</v>
      </c>
      <c r="G187" s="596" t="s">
        <v>414</v>
      </c>
      <c r="H187" s="597" t="s">
        <v>414</v>
      </c>
      <c r="I187" s="598" t="s">
        <v>414</v>
      </c>
      <c r="J187" s="596" t="s">
        <v>414</v>
      </c>
      <c r="K187" s="596" t="s">
        <v>414</v>
      </c>
      <c r="L187" s="611" t="s">
        <v>414</v>
      </c>
      <c r="M187" s="596" t="s">
        <v>414</v>
      </c>
      <c r="N187" s="599" t="s">
        <v>414</v>
      </c>
      <c r="O187" s="628"/>
    </row>
    <row r="188" spans="1:15" x14ac:dyDescent="0.15">
      <c r="A188" s="886"/>
      <c r="B188" s="888"/>
      <c r="C188" s="601" t="s">
        <v>414</v>
      </c>
      <c r="D188" s="602" t="s">
        <v>414</v>
      </c>
      <c r="E188" s="603" t="s">
        <v>414</v>
      </c>
      <c r="F188" s="603" t="s">
        <v>414</v>
      </c>
      <c r="G188" s="603" t="s">
        <v>414</v>
      </c>
      <c r="H188" s="612" t="s">
        <v>414</v>
      </c>
      <c r="I188" s="605" t="s">
        <v>414</v>
      </c>
      <c r="J188" s="603" t="s">
        <v>414</v>
      </c>
      <c r="K188" s="603" t="s">
        <v>414</v>
      </c>
      <c r="L188" s="603" t="s">
        <v>414</v>
      </c>
      <c r="M188" s="603" t="s">
        <v>414</v>
      </c>
      <c r="N188" s="606" t="s">
        <v>414</v>
      </c>
      <c r="O188" s="629"/>
    </row>
    <row r="189" spans="1:15" x14ac:dyDescent="0.15">
      <c r="A189" s="886"/>
      <c r="B189" s="888"/>
      <c r="C189" s="608" t="s">
        <v>414</v>
      </c>
      <c r="D189" s="609" t="s">
        <v>414</v>
      </c>
      <c r="E189" s="596" t="s">
        <v>414</v>
      </c>
      <c r="F189" s="596" t="s">
        <v>414</v>
      </c>
      <c r="G189" s="596" t="s">
        <v>414</v>
      </c>
      <c r="H189" s="597" t="s">
        <v>414</v>
      </c>
      <c r="I189" s="598" t="s">
        <v>414</v>
      </c>
      <c r="J189" s="596" t="s">
        <v>414</v>
      </c>
      <c r="K189" s="596" t="s">
        <v>414</v>
      </c>
      <c r="L189" s="611" t="s">
        <v>414</v>
      </c>
      <c r="M189" s="596" t="s">
        <v>414</v>
      </c>
      <c r="N189" s="599" t="s">
        <v>414</v>
      </c>
      <c r="O189" s="628"/>
    </row>
    <row r="190" spans="1:15" x14ac:dyDescent="0.15">
      <c r="A190" s="886"/>
      <c r="B190" s="888"/>
      <c r="C190" s="601" t="s">
        <v>414</v>
      </c>
      <c r="D190" s="602" t="s">
        <v>414</v>
      </c>
      <c r="E190" s="603" t="s">
        <v>414</v>
      </c>
      <c r="F190" s="603" t="s">
        <v>414</v>
      </c>
      <c r="G190" s="603" t="s">
        <v>414</v>
      </c>
      <c r="H190" s="612" t="s">
        <v>414</v>
      </c>
      <c r="I190" s="605" t="s">
        <v>414</v>
      </c>
      <c r="J190" s="603" t="s">
        <v>414</v>
      </c>
      <c r="K190" s="603" t="s">
        <v>414</v>
      </c>
      <c r="L190" s="603" t="s">
        <v>414</v>
      </c>
      <c r="M190" s="603" t="s">
        <v>414</v>
      </c>
      <c r="N190" s="606" t="s">
        <v>414</v>
      </c>
      <c r="O190" s="629"/>
    </row>
    <row r="191" spans="1:15" x14ac:dyDescent="0.15">
      <c r="A191" s="886"/>
      <c r="B191" s="888"/>
      <c r="C191" s="608" t="s">
        <v>414</v>
      </c>
      <c r="D191" s="609" t="s">
        <v>414</v>
      </c>
      <c r="E191" s="596" t="s">
        <v>414</v>
      </c>
      <c r="F191" s="596" t="s">
        <v>414</v>
      </c>
      <c r="G191" s="596" t="s">
        <v>414</v>
      </c>
      <c r="H191" s="597" t="s">
        <v>414</v>
      </c>
      <c r="I191" s="598" t="s">
        <v>414</v>
      </c>
      <c r="J191" s="596" t="s">
        <v>414</v>
      </c>
      <c r="K191" s="596" t="s">
        <v>414</v>
      </c>
      <c r="L191" s="611" t="s">
        <v>414</v>
      </c>
      <c r="M191" s="596" t="s">
        <v>414</v>
      </c>
      <c r="N191" s="599" t="s">
        <v>414</v>
      </c>
      <c r="O191" s="628"/>
    </row>
    <row r="192" spans="1:15" x14ac:dyDescent="0.15">
      <c r="A192" s="886"/>
      <c r="B192" s="888"/>
      <c r="C192" s="601" t="s">
        <v>414</v>
      </c>
      <c r="D192" s="602" t="s">
        <v>414</v>
      </c>
      <c r="E192" s="603" t="s">
        <v>414</v>
      </c>
      <c r="F192" s="603" t="s">
        <v>414</v>
      </c>
      <c r="G192" s="603" t="s">
        <v>414</v>
      </c>
      <c r="H192" s="612" t="s">
        <v>414</v>
      </c>
      <c r="I192" s="605" t="s">
        <v>414</v>
      </c>
      <c r="J192" s="603" t="s">
        <v>414</v>
      </c>
      <c r="K192" s="603" t="s">
        <v>414</v>
      </c>
      <c r="L192" s="603" t="s">
        <v>414</v>
      </c>
      <c r="M192" s="603" t="s">
        <v>414</v>
      </c>
      <c r="N192" s="606" t="s">
        <v>414</v>
      </c>
      <c r="O192" s="629"/>
    </row>
    <row r="193" spans="1:15" x14ac:dyDescent="0.15">
      <c r="A193" s="886"/>
      <c r="B193" s="888"/>
      <c r="C193" s="608" t="s">
        <v>414</v>
      </c>
      <c r="D193" s="609" t="s">
        <v>414</v>
      </c>
      <c r="E193" s="596" t="s">
        <v>414</v>
      </c>
      <c r="F193" s="596" t="s">
        <v>414</v>
      </c>
      <c r="G193" s="596" t="s">
        <v>414</v>
      </c>
      <c r="H193" s="597" t="s">
        <v>414</v>
      </c>
      <c r="I193" s="598" t="s">
        <v>414</v>
      </c>
      <c r="J193" s="596" t="s">
        <v>414</v>
      </c>
      <c r="K193" s="596" t="s">
        <v>414</v>
      </c>
      <c r="L193" s="611" t="s">
        <v>414</v>
      </c>
      <c r="M193" s="596" t="s">
        <v>414</v>
      </c>
      <c r="N193" s="599" t="s">
        <v>414</v>
      </c>
      <c r="O193" s="628"/>
    </row>
    <row r="194" spans="1:15" x14ac:dyDescent="0.15">
      <c r="A194" s="886"/>
      <c r="B194" s="888"/>
      <c r="C194" s="601" t="s">
        <v>414</v>
      </c>
      <c r="D194" s="602" t="s">
        <v>414</v>
      </c>
      <c r="E194" s="603" t="s">
        <v>414</v>
      </c>
      <c r="F194" s="603" t="s">
        <v>414</v>
      </c>
      <c r="G194" s="603" t="s">
        <v>414</v>
      </c>
      <c r="H194" s="612" t="s">
        <v>414</v>
      </c>
      <c r="I194" s="605" t="s">
        <v>414</v>
      </c>
      <c r="J194" s="603" t="s">
        <v>414</v>
      </c>
      <c r="K194" s="603" t="s">
        <v>414</v>
      </c>
      <c r="L194" s="603" t="s">
        <v>414</v>
      </c>
      <c r="M194" s="603" t="s">
        <v>414</v>
      </c>
      <c r="N194" s="606" t="s">
        <v>414</v>
      </c>
      <c r="O194" s="632"/>
    </row>
    <row r="195" spans="1:15" x14ac:dyDescent="0.15">
      <c r="A195" s="886"/>
      <c r="B195" s="888"/>
      <c r="C195" s="608" t="s">
        <v>414</v>
      </c>
      <c r="D195" s="609" t="s">
        <v>414</v>
      </c>
      <c r="E195" s="596" t="s">
        <v>414</v>
      </c>
      <c r="F195" s="596" t="s">
        <v>414</v>
      </c>
      <c r="G195" s="596" t="s">
        <v>414</v>
      </c>
      <c r="H195" s="597" t="s">
        <v>414</v>
      </c>
      <c r="I195" s="598" t="s">
        <v>414</v>
      </c>
      <c r="J195" s="596" t="s">
        <v>414</v>
      </c>
      <c r="K195" s="596" t="s">
        <v>414</v>
      </c>
      <c r="L195" s="611" t="s">
        <v>414</v>
      </c>
      <c r="M195" s="596" t="s">
        <v>414</v>
      </c>
      <c r="N195" s="599" t="s">
        <v>414</v>
      </c>
      <c r="O195" s="633"/>
    </row>
    <row r="196" spans="1:15" ht="15" thickBot="1" x14ac:dyDescent="0.2">
      <c r="A196" s="886"/>
      <c r="B196" s="634" t="s">
        <v>402</v>
      </c>
      <c r="C196" s="635">
        <f>SUM(C170:C195)</f>
        <v>0</v>
      </c>
      <c r="D196" s="636">
        <f t="shared" ref="D196:N196" si="6">SUM(D170:D195)</f>
        <v>0</v>
      </c>
      <c r="E196" s="636">
        <f t="shared" si="6"/>
        <v>0</v>
      </c>
      <c r="F196" s="636">
        <f t="shared" si="6"/>
        <v>0</v>
      </c>
      <c r="G196" s="636">
        <f t="shared" si="6"/>
        <v>0</v>
      </c>
      <c r="H196" s="637">
        <f t="shared" si="6"/>
        <v>0</v>
      </c>
      <c r="I196" s="638">
        <f t="shared" si="6"/>
        <v>0</v>
      </c>
      <c r="J196" s="636">
        <f t="shared" si="6"/>
        <v>173</v>
      </c>
      <c r="K196" s="636">
        <f t="shared" si="6"/>
        <v>0</v>
      </c>
      <c r="L196" s="636">
        <f t="shared" si="6"/>
        <v>400</v>
      </c>
      <c r="M196" s="636">
        <f t="shared" si="6"/>
        <v>542</v>
      </c>
      <c r="N196" s="639">
        <f t="shared" si="6"/>
        <v>1860</v>
      </c>
      <c r="O196" s="640">
        <f>SUM(C196:N196)</f>
        <v>2975</v>
      </c>
    </row>
  </sheetData>
  <mergeCells count="24">
    <mergeCell ref="A35:A61"/>
    <mergeCell ref="B35:B60"/>
    <mergeCell ref="C4:H4"/>
    <mergeCell ref="I4:N4"/>
    <mergeCell ref="O4:O5"/>
    <mergeCell ref="A6:A34"/>
    <mergeCell ref="B6:B33"/>
    <mergeCell ref="A4:B5"/>
    <mergeCell ref="A67:B68"/>
    <mergeCell ref="C67:H67"/>
    <mergeCell ref="I67:N67"/>
    <mergeCell ref="O67:O68"/>
    <mergeCell ref="A69:A97"/>
    <mergeCell ref="B69:B96"/>
    <mergeCell ref="A98:A124"/>
    <mergeCell ref="B98:B123"/>
    <mergeCell ref="A139:B140"/>
    <mergeCell ref="C139:H139"/>
    <mergeCell ref="I139:N139"/>
    <mergeCell ref="O139:O140"/>
    <mergeCell ref="A141:A169"/>
    <mergeCell ref="B141:B168"/>
    <mergeCell ref="A170:A196"/>
    <mergeCell ref="B170:B19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4"/>
  </cols>
  <sheetData>
    <row r="1" spans="1:18" x14ac:dyDescent="0.15">
      <c r="A1" s="474" t="s">
        <v>349</v>
      </c>
    </row>
    <row r="2" spans="1:18" ht="17.100000000000001" customHeight="1" x14ac:dyDescent="0.15">
      <c r="A2" s="904" t="s">
        <v>345</v>
      </c>
      <c r="B2" s="904"/>
      <c r="C2" s="495" t="s">
        <v>344</v>
      </c>
      <c r="D2" s="495" t="s">
        <v>325</v>
      </c>
      <c r="E2" s="495" t="s">
        <v>326</v>
      </c>
      <c r="F2" s="495" t="s">
        <v>327</v>
      </c>
      <c r="G2" s="495" t="s">
        <v>328</v>
      </c>
      <c r="H2" s="495" t="s">
        <v>329</v>
      </c>
      <c r="I2" s="495" t="s">
        <v>330</v>
      </c>
      <c r="J2" s="495" t="s">
        <v>331</v>
      </c>
      <c r="K2" s="495" t="s">
        <v>332</v>
      </c>
      <c r="L2" s="495" t="s">
        <v>333</v>
      </c>
      <c r="M2" s="495" t="s">
        <v>140</v>
      </c>
      <c r="N2" s="495" t="s">
        <v>141</v>
      </c>
      <c r="O2" s="495" t="s">
        <v>142</v>
      </c>
      <c r="P2" s="495" t="s">
        <v>143</v>
      </c>
      <c r="Q2" s="495" t="s">
        <v>334</v>
      </c>
      <c r="R2" s="495" t="s">
        <v>335</v>
      </c>
    </row>
    <row r="3" spans="1:18" ht="14.25" customHeight="1" x14ac:dyDescent="0.15">
      <c r="A3" s="904"/>
      <c r="B3" s="904"/>
      <c r="C3" s="483" t="s">
        <v>336</v>
      </c>
      <c r="D3" s="478">
        <f t="shared" ref="D3:I3" si="0">D11+D19-D27</f>
        <v>0</v>
      </c>
      <c r="E3" s="478">
        <f t="shared" si="0"/>
        <v>0</v>
      </c>
      <c r="F3" s="478">
        <f t="shared" si="0"/>
        <v>0</v>
      </c>
      <c r="G3" s="478">
        <f t="shared" si="0"/>
        <v>0</v>
      </c>
      <c r="H3" s="478">
        <f t="shared" si="0"/>
        <v>0</v>
      </c>
      <c r="I3" s="478">
        <f t="shared" si="0"/>
        <v>0</v>
      </c>
      <c r="J3" s="480">
        <f>SUM(D3:I3)</f>
        <v>0</v>
      </c>
      <c r="K3" s="478">
        <f t="shared" ref="K3:P3" si="1">K11+K19-K27</f>
        <v>0</v>
      </c>
      <c r="L3" s="478">
        <f t="shared" si="1"/>
        <v>0</v>
      </c>
      <c r="M3" s="478">
        <f t="shared" si="1"/>
        <v>0</v>
      </c>
      <c r="N3" s="478">
        <f t="shared" si="1"/>
        <v>0</v>
      </c>
      <c r="O3" s="478">
        <f t="shared" si="1"/>
        <v>0</v>
      </c>
      <c r="P3" s="478">
        <f t="shared" si="1"/>
        <v>0</v>
      </c>
      <c r="Q3" s="480">
        <f>SUM(K3:P3)</f>
        <v>0</v>
      </c>
      <c r="R3" s="480">
        <f>Q3+J3</f>
        <v>0</v>
      </c>
    </row>
    <row r="4" spans="1:18" x14ac:dyDescent="0.15">
      <c r="A4" s="904"/>
      <c r="B4" s="904"/>
      <c r="C4" s="484" t="s">
        <v>337</v>
      </c>
      <c r="D4" s="478">
        <f t="shared" ref="D4:I7" si="2">D12+D20-D28</f>
        <v>0</v>
      </c>
      <c r="E4" s="478">
        <f t="shared" si="2"/>
        <v>0</v>
      </c>
      <c r="F4" s="478">
        <f t="shared" si="2"/>
        <v>0</v>
      </c>
      <c r="G4" s="478">
        <f t="shared" si="2"/>
        <v>0</v>
      </c>
      <c r="H4" s="478">
        <f t="shared" si="2"/>
        <v>0</v>
      </c>
      <c r="I4" s="478">
        <f t="shared" si="2"/>
        <v>0</v>
      </c>
      <c r="J4" s="480">
        <f>SUM(D4:I4)</f>
        <v>0</v>
      </c>
      <c r="K4" s="478">
        <f t="shared" ref="K4:L7" si="3">K12+K20-K28</f>
        <v>0</v>
      </c>
      <c r="L4" s="478">
        <f t="shared" si="3"/>
        <v>0</v>
      </c>
      <c r="M4" s="478">
        <f t="shared" ref="M4:P7" si="4">M12+M20-M28</f>
        <v>0</v>
      </c>
      <c r="N4" s="478">
        <f t="shared" si="4"/>
        <v>0</v>
      </c>
      <c r="O4" s="478">
        <f t="shared" si="4"/>
        <v>0</v>
      </c>
      <c r="P4" s="478">
        <f t="shared" si="4"/>
        <v>0</v>
      </c>
      <c r="Q4" s="480">
        <f>SUM(K4:P4)</f>
        <v>0</v>
      </c>
      <c r="R4" s="480">
        <f>Q4+J4</f>
        <v>0</v>
      </c>
    </row>
    <row r="5" spans="1:18" x14ac:dyDescent="0.15">
      <c r="A5" s="904"/>
      <c r="B5" s="904"/>
      <c r="C5" s="484" t="s">
        <v>338</v>
      </c>
      <c r="D5" s="478">
        <f t="shared" si="2"/>
        <v>0</v>
      </c>
      <c r="E5" s="478">
        <f t="shared" si="2"/>
        <v>0</v>
      </c>
      <c r="F5" s="478">
        <f t="shared" si="2"/>
        <v>0</v>
      </c>
      <c r="G5" s="478">
        <f t="shared" si="2"/>
        <v>0</v>
      </c>
      <c r="H5" s="478">
        <f t="shared" si="2"/>
        <v>0</v>
      </c>
      <c r="I5" s="478">
        <f t="shared" si="2"/>
        <v>0</v>
      </c>
      <c r="J5" s="480">
        <f>SUM(D5:I5)</f>
        <v>0</v>
      </c>
      <c r="K5" s="478">
        <f t="shared" si="3"/>
        <v>0</v>
      </c>
      <c r="L5" s="478">
        <f t="shared" si="3"/>
        <v>0</v>
      </c>
      <c r="M5" s="478">
        <f t="shared" si="4"/>
        <v>0</v>
      </c>
      <c r="N5" s="478">
        <f t="shared" si="4"/>
        <v>0</v>
      </c>
      <c r="O5" s="478">
        <f t="shared" si="4"/>
        <v>0</v>
      </c>
      <c r="P5" s="478">
        <f t="shared" si="4"/>
        <v>0</v>
      </c>
      <c r="Q5" s="480">
        <f>SUM(K5:P5)</f>
        <v>0</v>
      </c>
      <c r="R5" s="480">
        <f>Q5+J5</f>
        <v>0</v>
      </c>
    </row>
    <row r="6" spans="1:18" x14ac:dyDescent="0.15">
      <c r="A6" s="904"/>
      <c r="B6" s="904"/>
      <c r="C6" s="484" t="s">
        <v>339</v>
      </c>
      <c r="D6" s="478">
        <f t="shared" si="2"/>
        <v>0</v>
      </c>
      <c r="E6" s="478">
        <f t="shared" si="2"/>
        <v>0</v>
      </c>
      <c r="F6" s="478">
        <f t="shared" si="2"/>
        <v>0</v>
      </c>
      <c r="G6" s="478">
        <f t="shared" si="2"/>
        <v>0</v>
      </c>
      <c r="H6" s="478">
        <f t="shared" si="2"/>
        <v>0</v>
      </c>
      <c r="I6" s="478">
        <f t="shared" si="2"/>
        <v>0</v>
      </c>
      <c r="J6" s="480">
        <f>SUM(D6:I6)</f>
        <v>0</v>
      </c>
      <c r="K6" s="478">
        <f t="shared" si="3"/>
        <v>0</v>
      </c>
      <c r="L6" s="478">
        <f t="shared" si="3"/>
        <v>0</v>
      </c>
      <c r="M6" s="478">
        <f t="shared" si="4"/>
        <v>0</v>
      </c>
      <c r="N6" s="478">
        <f t="shared" si="4"/>
        <v>0</v>
      </c>
      <c r="O6" s="478">
        <f t="shared" si="4"/>
        <v>0</v>
      </c>
      <c r="P6" s="478">
        <f t="shared" si="4"/>
        <v>0</v>
      </c>
      <c r="Q6" s="480">
        <f>SUM(K6:P6)</f>
        <v>0</v>
      </c>
      <c r="R6" s="480">
        <f>Q6+J6</f>
        <v>0</v>
      </c>
    </row>
    <row r="7" spans="1:18" x14ac:dyDescent="0.15">
      <c r="A7" s="904"/>
      <c r="B7" s="904"/>
      <c r="C7" s="485" t="s">
        <v>340</v>
      </c>
      <c r="D7" s="478">
        <f t="shared" si="2"/>
        <v>0</v>
      </c>
      <c r="E7" s="478">
        <f t="shared" si="2"/>
        <v>0</v>
      </c>
      <c r="F7" s="478">
        <f t="shared" si="2"/>
        <v>0</v>
      </c>
      <c r="G7" s="478">
        <f t="shared" si="2"/>
        <v>0</v>
      </c>
      <c r="H7" s="478">
        <f t="shared" si="2"/>
        <v>0</v>
      </c>
      <c r="I7" s="478">
        <f t="shared" si="2"/>
        <v>0</v>
      </c>
      <c r="J7" s="480">
        <f>SUM(D7:I7)</f>
        <v>0</v>
      </c>
      <c r="K7" s="478">
        <f t="shared" si="3"/>
        <v>0</v>
      </c>
      <c r="L7" s="478">
        <f t="shared" si="3"/>
        <v>0</v>
      </c>
      <c r="M7" s="478">
        <f t="shared" si="4"/>
        <v>0</v>
      </c>
      <c r="N7" s="478">
        <f t="shared" si="4"/>
        <v>0</v>
      </c>
      <c r="O7" s="478">
        <f t="shared" si="4"/>
        <v>0</v>
      </c>
      <c r="P7" s="478">
        <f t="shared" si="4"/>
        <v>0</v>
      </c>
      <c r="Q7" s="480">
        <f>SUM(K7:P7)</f>
        <v>0</v>
      </c>
      <c r="R7" s="480">
        <f>Q7+J7</f>
        <v>0</v>
      </c>
    </row>
    <row r="8" spans="1:18" x14ac:dyDescent="0.15">
      <c r="A8" s="905"/>
      <c r="B8" s="905"/>
      <c r="C8" s="486" t="s">
        <v>229</v>
      </c>
      <c r="D8" s="479">
        <f>SUM(D3:D7)</f>
        <v>0</v>
      </c>
      <c r="E8" s="479">
        <f t="shared" ref="E8:R8" si="5">SUM(E3:E7)</f>
        <v>0</v>
      </c>
      <c r="F8" s="479">
        <f t="shared" si="5"/>
        <v>0</v>
      </c>
      <c r="G8" s="479">
        <f t="shared" si="5"/>
        <v>0</v>
      </c>
      <c r="H8" s="479">
        <f t="shared" si="5"/>
        <v>0</v>
      </c>
      <c r="I8" s="479">
        <f t="shared" si="5"/>
        <v>0</v>
      </c>
      <c r="J8" s="480">
        <f t="shared" si="5"/>
        <v>0</v>
      </c>
      <c r="K8" s="479">
        <f>SUM(K3:K7)</f>
        <v>0</v>
      </c>
      <c r="L8" s="479">
        <f t="shared" si="5"/>
        <v>0</v>
      </c>
      <c r="M8" s="479">
        <f t="shared" si="5"/>
        <v>0</v>
      </c>
      <c r="N8" s="479">
        <f t="shared" si="5"/>
        <v>0</v>
      </c>
      <c r="O8" s="479">
        <f t="shared" si="5"/>
        <v>0</v>
      </c>
      <c r="P8" s="479">
        <f t="shared" si="5"/>
        <v>0</v>
      </c>
      <c r="Q8" s="480">
        <f t="shared" si="5"/>
        <v>0</v>
      </c>
      <c r="R8" s="480">
        <f t="shared" si="5"/>
        <v>0</v>
      </c>
    </row>
    <row r="9" spans="1:18" x14ac:dyDescent="0.1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96"/>
      <c r="P9" s="476"/>
      <c r="Q9" s="476"/>
      <c r="R9" s="476"/>
    </row>
    <row r="10" spans="1:18" x14ac:dyDescent="0.15">
      <c r="A10" s="476"/>
      <c r="B10" s="476"/>
      <c r="C10" s="476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</row>
    <row r="11" spans="1:18" x14ac:dyDescent="0.15">
      <c r="A11" s="900" t="s">
        <v>341</v>
      </c>
      <c r="B11" s="901"/>
      <c r="C11" s="483" t="s">
        <v>336</v>
      </c>
      <c r="D11" s="487"/>
      <c r="E11" s="488"/>
      <c r="F11" s="488"/>
      <c r="G11" s="487"/>
      <c r="H11" s="487"/>
      <c r="I11" s="487"/>
      <c r="J11" s="481">
        <f>SUM(D11:I11)</f>
        <v>0</v>
      </c>
      <c r="K11" s="487"/>
      <c r="L11" s="487"/>
      <c r="M11" s="487"/>
      <c r="N11" s="487"/>
      <c r="O11" s="487"/>
      <c r="P11" s="487"/>
      <c r="Q11" s="481">
        <f>SUM(K11:P11)</f>
        <v>0</v>
      </c>
      <c r="R11" s="481">
        <f>Q11+J11</f>
        <v>0</v>
      </c>
    </row>
    <row r="12" spans="1:18" x14ac:dyDescent="0.15">
      <c r="A12" s="902"/>
      <c r="B12" s="902"/>
      <c r="C12" s="484" t="s">
        <v>337</v>
      </c>
      <c r="D12" s="489"/>
      <c r="E12" s="490"/>
      <c r="F12" s="490"/>
      <c r="G12" s="489"/>
      <c r="H12" s="489"/>
      <c r="I12" s="489"/>
      <c r="J12" s="482">
        <f>SUM(D12:I12)</f>
        <v>0</v>
      </c>
      <c r="K12" s="489"/>
      <c r="L12" s="489"/>
      <c r="M12" s="489"/>
      <c r="N12" s="489"/>
      <c r="O12" s="489"/>
      <c r="P12" s="489"/>
      <c r="Q12" s="482">
        <f>SUM(K12:P12)</f>
        <v>0</v>
      </c>
      <c r="R12" s="482">
        <f>Q12+J12</f>
        <v>0</v>
      </c>
    </row>
    <row r="13" spans="1:18" x14ac:dyDescent="0.15">
      <c r="A13" s="902"/>
      <c r="B13" s="902"/>
      <c r="C13" s="484" t="s">
        <v>338</v>
      </c>
      <c r="D13" s="489"/>
      <c r="E13" s="490"/>
      <c r="F13" s="490"/>
      <c r="G13" s="489"/>
      <c r="H13" s="489"/>
      <c r="I13" s="489"/>
      <c r="J13" s="482">
        <f>SUM(D13:I13)</f>
        <v>0</v>
      </c>
      <c r="K13" s="489"/>
      <c r="L13" s="489"/>
      <c r="M13" s="489"/>
      <c r="N13" s="489"/>
      <c r="O13" s="489"/>
      <c r="P13" s="489"/>
      <c r="Q13" s="482">
        <f>SUM(K13:P13)</f>
        <v>0</v>
      </c>
      <c r="R13" s="482">
        <f>Q13+J13</f>
        <v>0</v>
      </c>
    </row>
    <row r="14" spans="1:18" x14ac:dyDescent="0.15">
      <c r="A14" s="902"/>
      <c r="B14" s="902"/>
      <c r="C14" s="484" t="s">
        <v>339</v>
      </c>
      <c r="D14" s="489"/>
      <c r="E14" s="490"/>
      <c r="F14" s="490"/>
      <c r="G14" s="489"/>
      <c r="H14" s="489"/>
      <c r="I14" s="489"/>
      <c r="J14" s="482">
        <f>SUM(D14:I14)</f>
        <v>0</v>
      </c>
      <c r="K14" s="489"/>
      <c r="L14" s="489"/>
      <c r="M14" s="489"/>
      <c r="N14" s="489"/>
      <c r="O14" s="489"/>
      <c r="P14" s="489"/>
      <c r="Q14" s="482">
        <f>SUM(K14:P14)</f>
        <v>0</v>
      </c>
      <c r="R14" s="482">
        <f>Q14+J14</f>
        <v>0</v>
      </c>
    </row>
    <row r="15" spans="1:18" x14ac:dyDescent="0.15">
      <c r="A15" s="902"/>
      <c r="B15" s="902"/>
      <c r="C15" s="485" t="s">
        <v>340</v>
      </c>
      <c r="D15" s="491"/>
      <c r="E15" s="492"/>
      <c r="F15" s="492"/>
      <c r="G15" s="489"/>
      <c r="H15" s="489"/>
      <c r="I15" s="489"/>
      <c r="J15" s="482">
        <f>SUM(D15:I15)</f>
        <v>0</v>
      </c>
      <c r="K15" s="489"/>
      <c r="L15" s="489"/>
      <c r="M15" s="489"/>
      <c r="N15" s="489"/>
      <c r="O15" s="489"/>
      <c r="P15" s="489"/>
      <c r="Q15" s="482">
        <f>SUM(K15:P15)</f>
        <v>0</v>
      </c>
      <c r="R15" s="482">
        <f>Q15+J15</f>
        <v>0</v>
      </c>
    </row>
    <row r="16" spans="1:18" x14ac:dyDescent="0.15">
      <c r="A16" s="903"/>
      <c r="B16" s="903"/>
      <c r="C16" s="493" t="s">
        <v>229</v>
      </c>
      <c r="D16" s="475">
        <f>SUM(D11:D15)</f>
        <v>0</v>
      </c>
      <c r="E16" s="475">
        <f t="shared" ref="E16:J16" si="6">SUM(E11:E15)</f>
        <v>0</v>
      </c>
      <c r="F16" s="475">
        <f t="shared" si="6"/>
        <v>0</v>
      </c>
      <c r="G16" s="475">
        <f t="shared" si="6"/>
        <v>0</v>
      </c>
      <c r="H16" s="475">
        <f t="shared" si="6"/>
        <v>0</v>
      </c>
      <c r="I16" s="475">
        <f t="shared" si="6"/>
        <v>0</v>
      </c>
      <c r="J16" s="475">
        <f t="shared" si="6"/>
        <v>0</v>
      </c>
      <c r="K16" s="475">
        <f>SUM(K11:K15)</f>
        <v>0</v>
      </c>
      <c r="L16" s="475">
        <f t="shared" ref="L16:R16" si="7">SUM(L11:L15)</f>
        <v>0</v>
      </c>
      <c r="M16" s="475">
        <f t="shared" si="7"/>
        <v>0</v>
      </c>
      <c r="N16" s="475">
        <f t="shared" si="7"/>
        <v>0</v>
      </c>
      <c r="O16" s="475">
        <f t="shared" si="7"/>
        <v>0</v>
      </c>
      <c r="P16" s="475">
        <f t="shared" si="7"/>
        <v>0</v>
      </c>
      <c r="Q16" s="475">
        <f t="shared" si="7"/>
        <v>0</v>
      </c>
      <c r="R16" s="475">
        <f t="shared" si="7"/>
        <v>0</v>
      </c>
    </row>
    <row r="17" spans="1:18" x14ac:dyDescent="0.15">
      <c r="A17" s="476"/>
      <c r="B17" s="4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6"/>
      <c r="B18" s="4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0" t="s">
        <v>342</v>
      </c>
      <c r="B19" s="901"/>
      <c r="C19" s="483" t="s">
        <v>336</v>
      </c>
      <c r="D19" s="487"/>
      <c r="E19" s="488"/>
      <c r="F19" s="488"/>
      <c r="G19" s="487"/>
      <c r="H19" s="487"/>
      <c r="I19" s="487"/>
      <c r="J19" s="481">
        <f>SUM(D19:I19)</f>
        <v>0</v>
      </c>
      <c r="K19" s="487"/>
      <c r="L19" s="487"/>
      <c r="M19" s="487"/>
      <c r="N19" s="487"/>
      <c r="O19" s="487"/>
      <c r="P19" s="487"/>
      <c r="Q19" s="481">
        <f>SUM(K19:P19)</f>
        <v>0</v>
      </c>
      <c r="R19" s="481">
        <f>Q19+J19</f>
        <v>0</v>
      </c>
    </row>
    <row r="20" spans="1:18" x14ac:dyDescent="0.15">
      <c r="A20" s="902"/>
      <c r="B20" s="902"/>
      <c r="C20" s="484" t="s">
        <v>337</v>
      </c>
      <c r="D20" s="489"/>
      <c r="E20" s="490"/>
      <c r="F20" s="490"/>
      <c r="G20" s="489"/>
      <c r="H20" s="489"/>
      <c r="I20" s="489"/>
      <c r="J20" s="482">
        <f>SUM(D20:I20)</f>
        <v>0</v>
      </c>
      <c r="K20" s="489"/>
      <c r="L20" s="489"/>
      <c r="M20" s="489"/>
      <c r="N20" s="489"/>
      <c r="O20" s="489"/>
      <c r="P20" s="489"/>
      <c r="Q20" s="482">
        <f>SUM(K20:P20)</f>
        <v>0</v>
      </c>
      <c r="R20" s="482">
        <f>Q20+J20</f>
        <v>0</v>
      </c>
    </row>
    <row r="21" spans="1:18" x14ac:dyDescent="0.15">
      <c r="A21" s="902"/>
      <c r="B21" s="902"/>
      <c r="C21" s="484" t="s">
        <v>338</v>
      </c>
      <c r="D21" s="489"/>
      <c r="E21" s="490"/>
      <c r="F21" s="490"/>
      <c r="G21" s="489"/>
      <c r="H21" s="489"/>
      <c r="I21" s="489"/>
      <c r="J21" s="482">
        <f>SUM(D21:I21)</f>
        <v>0</v>
      </c>
      <c r="K21" s="489"/>
      <c r="L21" s="489"/>
      <c r="M21" s="489"/>
      <c r="N21" s="489"/>
      <c r="O21" s="489"/>
      <c r="P21" s="489"/>
      <c r="Q21" s="482">
        <f>SUM(K21:P21)</f>
        <v>0</v>
      </c>
      <c r="R21" s="482">
        <f>Q21+J21</f>
        <v>0</v>
      </c>
    </row>
    <row r="22" spans="1:18" x14ac:dyDescent="0.15">
      <c r="A22" s="902"/>
      <c r="B22" s="902"/>
      <c r="C22" s="484" t="s">
        <v>339</v>
      </c>
      <c r="D22" s="489"/>
      <c r="E22" s="490"/>
      <c r="F22" s="490"/>
      <c r="G22" s="489"/>
      <c r="H22" s="489"/>
      <c r="I22" s="489"/>
      <c r="J22" s="482">
        <f>SUM(D22:I22)</f>
        <v>0</v>
      </c>
      <c r="K22" s="489"/>
      <c r="L22" s="489"/>
      <c r="M22" s="489"/>
      <c r="N22" s="489"/>
      <c r="O22" s="489"/>
      <c r="P22" s="489"/>
      <c r="Q22" s="482">
        <f>SUM(K22:P22)</f>
        <v>0</v>
      </c>
      <c r="R22" s="482">
        <f>Q22+J22</f>
        <v>0</v>
      </c>
    </row>
    <row r="23" spans="1:18" x14ac:dyDescent="0.15">
      <c r="A23" s="902"/>
      <c r="B23" s="902"/>
      <c r="C23" s="485" t="s">
        <v>340</v>
      </c>
      <c r="D23" s="491"/>
      <c r="E23" s="492"/>
      <c r="F23" s="492"/>
      <c r="G23" s="489"/>
      <c r="H23" s="489"/>
      <c r="I23" s="489"/>
      <c r="J23" s="482">
        <f>SUM(D23:I23)</f>
        <v>0</v>
      </c>
      <c r="K23" s="489"/>
      <c r="L23" s="489"/>
      <c r="M23" s="489"/>
      <c r="N23" s="489"/>
      <c r="O23" s="489"/>
      <c r="P23" s="489"/>
      <c r="Q23" s="482">
        <f>SUM(K23:P23)</f>
        <v>0</v>
      </c>
      <c r="R23" s="482">
        <f>Q23+J23</f>
        <v>0</v>
      </c>
    </row>
    <row r="24" spans="1:18" x14ac:dyDescent="0.15">
      <c r="A24" s="903"/>
      <c r="B24" s="903"/>
      <c r="C24" s="493" t="s">
        <v>229</v>
      </c>
      <c r="D24" s="475">
        <f>SUM(D19:D23)</f>
        <v>0</v>
      </c>
      <c r="E24" s="475">
        <f t="shared" ref="E24:J24" si="8">SUM(E19:E23)</f>
        <v>0</v>
      </c>
      <c r="F24" s="475">
        <f t="shared" si="8"/>
        <v>0</v>
      </c>
      <c r="G24" s="475">
        <f t="shared" si="8"/>
        <v>0</v>
      </c>
      <c r="H24" s="475">
        <f t="shared" si="8"/>
        <v>0</v>
      </c>
      <c r="I24" s="475">
        <f t="shared" si="8"/>
        <v>0</v>
      </c>
      <c r="J24" s="475">
        <f t="shared" si="8"/>
        <v>0</v>
      </c>
      <c r="K24" s="475">
        <f>SUM(K19:K23)</f>
        <v>0</v>
      </c>
      <c r="L24" s="475">
        <f t="shared" ref="L24:R24" si="9">SUM(L19:L23)</f>
        <v>0</v>
      </c>
      <c r="M24" s="475">
        <f t="shared" si="9"/>
        <v>0</v>
      </c>
      <c r="N24" s="475">
        <f t="shared" si="9"/>
        <v>0</v>
      </c>
      <c r="O24" s="475">
        <f t="shared" si="9"/>
        <v>0</v>
      </c>
      <c r="P24" s="475">
        <f t="shared" si="9"/>
        <v>0</v>
      </c>
      <c r="Q24" s="475">
        <f t="shared" si="9"/>
        <v>0</v>
      </c>
      <c r="R24" s="475">
        <f t="shared" si="9"/>
        <v>0</v>
      </c>
    </row>
    <row r="25" spans="1:18" x14ac:dyDescent="0.15">
      <c r="A25" s="476"/>
      <c r="B25" s="4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6"/>
      <c r="B26" s="4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0" t="s">
        <v>343</v>
      </c>
      <c r="B27" s="901"/>
      <c r="C27" s="483" t="s">
        <v>336</v>
      </c>
      <c r="D27" s="487"/>
      <c r="E27" s="488"/>
      <c r="F27" s="488"/>
      <c r="G27" s="487"/>
      <c r="H27" s="487"/>
      <c r="I27" s="487"/>
      <c r="J27" s="481">
        <f>SUM(D27:I27)</f>
        <v>0</v>
      </c>
      <c r="K27" s="487"/>
      <c r="L27" s="487"/>
      <c r="M27" s="487"/>
      <c r="N27" s="487"/>
      <c r="O27" s="487"/>
      <c r="P27" s="487"/>
      <c r="Q27" s="481">
        <f>SUM(K27:P27)</f>
        <v>0</v>
      </c>
      <c r="R27" s="481">
        <f>Q27+J27</f>
        <v>0</v>
      </c>
    </row>
    <row r="28" spans="1:18" x14ac:dyDescent="0.15">
      <c r="A28" s="902"/>
      <c r="B28" s="902"/>
      <c r="C28" s="484" t="s">
        <v>337</v>
      </c>
      <c r="D28" s="489"/>
      <c r="E28" s="490"/>
      <c r="F28" s="490"/>
      <c r="G28" s="489"/>
      <c r="H28" s="489"/>
      <c r="I28" s="489"/>
      <c r="J28" s="482">
        <f>SUM(D28:I28)</f>
        <v>0</v>
      </c>
      <c r="K28" s="489"/>
      <c r="L28" s="489"/>
      <c r="M28" s="489"/>
      <c r="N28" s="489"/>
      <c r="O28" s="489"/>
      <c r="P28" s="489"/>
      <c r="Q28" s="482">
        <f>SUM(K28:P28)</f>
        <v>0</v>
      </c>
      <c r="R28" s="482">
        <f>Q28+J28</f>
        <v>0</v>
      </c>
    </row>
    <row r="29" spans="1:18" x14ac:dyDescent="0.15">
      <c r="A29" s="902"/>
      <c r="B29" s="902"/>
      <c r="C29" s="484" t="s">
        <v>338</v>
      </c>
      <c r="D29" s="489"/>
      <c r="E29" s="490"/>
      <c r="F29" s="490"/>
      <c r="G29" s="489"/>
      <c r="H29" s="489"/>
      <c r="I29" s="489"/>
      <c r="J29" s="482">
        <f>SUM(D29:I29)</f>
        <v>0</v>
      </c>
      <c r="K29" s="489"/>
      <c r="L29" s="489"/>
      <c r="M29" s="489"/>
      <c r="N29" s="489"/>
      <c r="O29" s="489"/>
      <c r="P29" s="489"/>
      <c r="Q29" s="482">
        <f>SUM(K29:P29)</f>
        <v>0</v>
      </c>
      <c r="R29" s="482">
        <f>Q29+J29</f>
        <v>0</v>
      </c>
    </row>
    <row r="30" spans="1:18" x14ac:dyDescent="0.15">
      <c r="A30" s="902"/>
      <c r="B30" s="902"/>
      <c r="C30" s="484" t="s">
        <v>339</v>
      </c>
      <c r="D30" s="489"/>
      <c r="E30" s="490"/>
      <c r="F30" s="490"/>
      <c r="G30" s="489"/>
      <c r="H30" s="489"/>
      <c r="I30" s="489"/>
      <c r="J30" s="482">
        <f>SUM(D30:I30)</f>
        <v>0</v>
      </c>
      <c r="K30" s="489"/>
      <c r="L30" s="489"/>
      <c r="M30" s="489"/>
      <c r="N30" s="489"/>
      <c r="O30" s="489"/>
      <c r="P30" s="489"/>
      <c r="Q30" s="482">
        <f>SUM(K30:P30)</f>
        <v>0</v>
      </c>
      <c r="R30" s="482">
        <f>Q30+J30</f>
        <v>0</v>
      </c>
    </row>
    <row r="31" spans="1:18" x14ac:dyDescent="0.15">
      <c r="A31" s="902"/>
      <c r="B31" s="902"/>
      <c r="C31" s="485" t="s">
        <v>340</v>
      </c>
      <c r="D31" s="491"/>
      <c r="E31" s="492"/>
      <c r="F31" s="492"/>
      <c r="G31" s="489"/>
      <c r="H31" s="489"/>
      <c r="I31" s="489"/>
      <c r="J31" s="482">
        <f>SUM(D31:I31)</f>
        <v>0</v>
      </c>
      <c r="K31" s="489"/>
      <c r="L31" s="489"/>
      <c r="M31" s="489"/>
      <c r="N31" s="489"/>
      <c r="O31" s="489"/>
      <c r="P31" s="489"/>
      <c r="Q31" s="482">
        <f>SUM(K31:P31)</f>
        <v>0</v>
      </c>
      <c r="R31" s="482">
        <f>Q31+J31</f>
        <v>0</v>
      </c>
    </row>
    <row r="32" spans="1:18" x14ac:dyDescent="0.15">
      <c r="A32" s="903"/>
      <c r="B32" s="903"/>
      <c r="C32" s="493" t="s">
        <v>229</v>
      </c>
      <c r="D32" s="475">
        <f>SUM(D27:D31)</f>
        <v>0</v>
      </c>
      <c r="E32" s="475">
        <f t="shared" ref="E32:J32" si="10">SUM(E27:E31)</f>
        <v>0</v>
      </c>
      <c r="F32" s="475">
        <f t="shared" si="10"/>
        <v>0</v>
      </c>
      <c r="G32" s="475">
        <f t="shared" si="10"/>
        <v>0</v>
      </c>
      <c r="H32" s="475">
        <f t="shared" si="10"/>
        <v>0</v>
      </c>
      <c r="I32" s="475">
        <f t="shared" si="10"/>
        <v>0</v>
      </c>
      <c r="J32" s="475">
        <f t="shared" si="10"/>
        <v>0</v>
      </c>
      <c r="K32" s="475">
        <f>SUM(K27:K31)</f>
        <v>0</v>
      </c>
      <c r="L32" s="475">
        <f t="shared" ref="L32:R32" si="11">SUM(L27:L31)</f>
        <v>0</v>
      </c>
      <c r="M32" s="475">
        <f t="shared" si="11"/>
        <v>0</v>
      </c>
      <c r="N32" s="475">
        <f t="shared" si="11"/>
        <v>0</v>
      </c>
      <c r="O32" s="475">
        <f t="shared" si="11"/>
        <v>0</v>
      </c>
      <c r="P32" s="475">
        <f t="shared" si="11"/>
        <v>0</v>
      </c>
      <c r="Q32" s="475">
        <f t="shared" si="11"/>
        <v>0</v>
      </c>
      <c r="R32" s="475">
        <f t="shared" si="11"/>
        <v>0</v>
      </c>
    </row>
    <row r="33" spans="3:18" x14ac:dyDescent="0.15"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1" t="s">
        <v>230</v>
      </c>
      <c r="B1" s="401"/>
      <c r="C1" s="401"/>
      <c r="D1" s="401"/>
      <c r="E1" s="401"/>
    </row>
    <row r="2" spans="1:5" x14ac:dyDescent="0.15">
      <c r="A2" s="401"/>
      <c r="B2" s="401"/>
      <c r="C2" s="401"/>
      <c r="D2" s="401"/>
      <c r="E2" s="401"/>
    </row>
    <row r="3" spans="1:5" x14ac:dyDescent="0.15">
      <c r="A3" s="401" t="s">
        <v>231</v>
      </c>
      <c r="B3" s="401"/>
      <c r="C3" s="401"/>
      <c r="D3" s="401"/>
      <c r="E3" s="401"/>
    </row>
    <row r="4" spans="1:5" x14ac:dyDescent="0.15">
      <c r="A4" s="401"/>
      <c r="B4" s="401"/>
      <c r="C4" s="401"/>
      <c r="D4" s="401"/>
      <c r="E4" s="401"/>
    </row>
    <row r="5" spans="1:5" x14ac:dyDescent="0.15">
      <c r="A5" s="401" t="s">
        <v>232</v>
      </c>
      <c r="B5" s="401"/>
      <c r="C5" s="401"/>
      <c r="D5" s="401"/>
      <c r="E5" s="401"/>
    </row>
    <row r="6" spans="1:5" x14ac:dyDescent="0.15">
      <c r="A6" s="401"/>
      <c r="B6" s="401" t="s">
        <v>233</v>
      </c>
      <c r="C6" s="401"/>
      <c r="D6" s="401"/>
      <c r="E6" s="401"/>
    </row>
    <row r="7" spans="1:5" x14ac:dyDescent="0.15">
      <c r="A7" s="401"/>
      <c r="B7" s="401" t="s">
        <v>234</v>
      </c>
      <c r="C7" s="401"/>
      <c r="D7" s="401"/>
      <c r="E7" s="401"/>
    </row>
    <row r="8" spans="1:5" x14ac:dyDescent="0.15">
      <c r="A8" s="401"/>
      <c r="B8" s="401" t="s">
        <v>235</v>
      </c>
      <c r="C8" s="401"/>
      <c r="D8" s="401"/>
      <c r="E8" s="401"/>
    </row>
    <row r="9" spans="1:5" x14ac:dyDescent="0.15">
      <c r="A9" s="401"/>
      <c r="B9" s="401" t="s">
        <v>236</v>
      </c>
      <c r="C9" s="401"/>
      <c r="D9" s="401"/>
      <c r="E9" s="401"/>
    </row>
    <row r="10" spans="1:5" x14ac:dyDescent="0.15">
      <c r="A10" s="401"/>
      <c r="B10" s="401" t="s">
        <v>237</v>
      </c>
      <c r="C10" s="401"/>
      <c r="D10" s="401"/>
      <c r="E10" s="401"/>
    </row>
    <row r="11" spans="1:5" x14ac:dyDescent="0.15">
      <c r="A11" s="401"/>
      <c r="B11" s="401" t="s">
        <v>238</v>
      </c>
      <c r="C11" s="401"/>
      <c r="D11" s="401"/>
      <c r="E11" s="401"/>
    </row>
    <row r="12" spans="1:5" x14ac:dyDescent="0.15">
      <c r="A12" s="401"/>
      <c r="B12" s="401" t="s">
        <v>239</v>
      </c>
      <c r="C12" s="401"/>
      <c r="D12" s="401"/>
      <c r="E12" s="401"/>
    </row>
    <row r="13" spans="1:5" x14ac:dyDescent="0.15">
      <c r="A13" s="401"/>
      <c r="B13" s="401" t="s">
        <v>240</v>
      </c>
      <c r="C13" s="401"/>
      <c r="D13" s="401"/>
      <c r="E13" s="401"/>
    </row>
    <row r="14" spans="1:5" x14ac:dyDescent="0.15">
      <c r="A14" s="401"/>
      <c r="B14" s="401"/>
      <c r="C14" s="401"/>
      <c r="D14" s="401"/>
      <c r="E14" s="401"/>
    </row>
    <row r="15" spans="1:5" x14ac:dyDescent="0.15">
      <c r="A15" s="401" t="s">
        <v>241</v>
      </c>
      <c r="B15" s="401"/>
      <c r="C15" s="401"/>
      <c r="D15" s="401"/>
      <c r="E15" s="401"/>
    </row>
    <row r="16" spans="1:5" x14ac:dyDescent="0.15">
      <c r="A16" s="401"/>
      <c r="B16" s="401" t="s">
        <v>242</v>
      </c>
      <c r="C16" s="401"/>
      <c r="D16" s="401"/>
      <c r="E16" s="401"/>
    </row>
    <row r="17" spans="1:5" x14ac:dyDescent="0.15">
      <c r="A17" s="401"/>
      <c r="B17" s="401" t="s">
        <v>243</v>
      </c>
      <c r="C17" s="401"/>
      <c r="D17" s="401"/>
      <c r="E17" s="401"/>
    </row>
    <row r="18" spans="1:5" x14ac:dyDescent="0.15">
      <c r="A18" s="401"/>
      <c r="B18" s="401" t="s">
        <v>244</v>
      </c>
      <c r="C18" s="401"/>
      <c r="D18" s="401"/>
      <c r="E18" s="401"/>
    </row>
    <row r="19" spans="1:5" x14ac:dyDescent="0.15">
      <c r="A19" s="401"/>
      <c r="B19" s="401" t="s">
        <v>245</v>
      </c>
      <c r="C19" s="401"/>
      <c r="D19" s="401"/>
      <c r="E19" s="401"/>
    </row>
    <row r="20" spans="1:5" x14ac:dyDescent="0.15">
      <c r="A20" s="401"/>
      <c r="B20" s="401" t="s">
        <v>246</v>
      </c>
      <c r="C20" s="401"/>
      <c r="D20" s="401"/>
      <c r="E20" s="401"/>
    </row>
    <row r="21" spans="1:5" x14ac:dyDescent="0.15">
      <c r="A21" s="401"/>
      <c r="B21" s="401" t="s">
        <v>247</v>
      </c>
      <c r="C21" s="401"/>
      <c r="D21" s="401"/>
      <c r="E21" s="401"/>
    </row>
    <row r="22" spans="1:5" x14ac:dyDescent="0.15">
      <c r="A22" s="401"/>
      <c r="B22" s="401" t="s">
        <v>248</v>
      </c>
      <c r="C22" s="401"/>
      <c r="D22" s="401"/>
      <c r="E22" s="401"/>
    </row>
    <row r="23" spans="1:5" x14ac:dyDescent="0.15">
      <c r="A23" s="401"/>
      <c r="B23" s="401" t="s">
        <v>249</v>
      </c>
      <c r="C23" s="401"/>
      <c r="D23" s="401"/>
      <c r="E23" s="401"/>
    </row>
    <row r="24" spans="1:5" x14ac:dyDescent="0.15">
      <c r="A24" s="401"/>
      <c r="B24" s="401" t="s">
        <v>250</v>
      </c>
      <c r="C24" s="401"/>
      <c r="D24" s="401"/>
      <c r="E24" s="401"/>
    </row>
    <row r="25" spans="1:5" x14ac:dyDescent="0.15">
      <c r="A25" s="401"/>
      <c r="B25" s="401" t="s">
        <v>251</v>
      </c>
      <c r="C25" s="401"/>
      <c r="D25" s="401"/>
      <c r="E25" s="401"/>
    </row>
    <row r="26" spans="1:5" x14ac:dyDescent="0.15">
      <c r="A26" s="401"/>
      <c r="B26" s="401" t="s">
        <v>252</v>
      </c>
      <c r="C26" s="401"/>
      <c r="D26" s="401"/>
      <c r="E26" s="401"/>
    </row>
    <row r="27" spans="1:5" x14ac:dyDescent="0.15">
      <c r="A27" s="401"/>
      <c r="B27" s="401" t="s">
        <v>249</v>
      </c>
      <c r="C27" s="401"/>
      <c r="D27" s="401"/>
      <c r="E27" s="401"/>
    </row>
    <row r="28" spans="1:5" x14ac:dyDescent="0.15">
      <c r="A28" s="401"/>
      <c r="B28" s="401"/>
      <c r="C28" s="401"/>
      <c r="D28" s="401"/>
      <c r="E28" s="401"/>
    </row>
    <row r="29" spans="1:5" x14ac:dyDescent="0.15">
      <c r="A29" s="401" t="s">
        <v>253</v>
      </c>
      <c r="B29" s="401"/>
      <c r="C29" s="401"/>
      <c r="D29" s="401"/>
      <c r="E29" s="401"/>
    </row>
    <row r="30" spans="1:5" x14ac:dyDescent="0.15">
      <c r="A30" s="401"/>
      <c r="B30" s="401" t="s">
        <v>254</v>
      </c>
      <c r="C30" s="401"/>
      <c r="D30" s="401"/>
      <c r="E30" s="401"/>
    </row>
    <row r="31" spans="1:5" x14ac:dyDescent="0.15">
      <c r="A31" s="401"/>
      <c r="B31" s="401" t="s">
        <v>255</v>
      </c>
      <c r="C31" s="401"/>
      <c r="D31" s="401"/>
      <c r="E31" s="401"/>
    </row>
    <row r="32" spans="1:5" x14ac:dyDescent="0.15">
      <c r="A32" s="401"/>
      <c r="B32" s="401" t="s">
        <v>256</v>
      </c>
      <c r="C32" s="401"/>
      <c r="D32" s="401"/>
      <c r="E32" s="401"/>
    </row>
    <row r="33" spans="1:5" x14ac:dyDescent="0.15">
      <c r="A33" s="401"/>
      <c r="B33" s="401" t="s">
        <v>257</v>
      </c>
      <c r="C33" s="401"/>
      <c r="D33" s="401"/>
      <c r="E33" s="401"/>
    </row>
    <row r="34" spans="1:5" x14ac:dyDescent="0.15">
      <c r="A34" s="401"/>
      <c r="B34" s="401" t="s">
        <v>258</v>
      </c>
      <c r="C34" s="401"/>
      <c r="D34" s="401"/>
      <c r="E34" s="401"/>
    </row>
    <row r="35" spans="1:5" x14ac:dyDescent="0.15">
      <c r="A35" s="401"/>
      <c r="B35" s="401" t="s">
        <v>259</v>
      </c>
      <c r="C35" s="401"/>
      <c r="D35" s="401"/>
      <c r="E35" s="401"/>
    </row>
    <row r="36" spans="1:5" x14ac:dyDescent="0.15">
      <c r="A36" s="401"/>
      <c r="B36" s="401" t="s">
        <v>260</v>
      </c>
      <c r="C36" s="401"/>
      <c r="D36" s="401"/>
      <c r="E36" s="401"/>
    </row>
    <row r="37" spans="1:5" x14ac:dyDescent="0.15">
      <c r="A37" s="401"/>
      <c r="B37" s="401" t="s">
        <v>261</v>
      </c>
      <c r="C37" s="401"/>
      <c r="D37" s="401"/>
      <c r="E37" s="401"/>
    </row>
    <row r="38" spans="1:5" x14ac:dyDescent="0.15">
      <c r="A38" s="401"/>
      <c r="B38" s="401" t="s">
        <v>262</v>
      </c>
      <c r="C38" s="401"/>
      <c r="D38" s="401"/>
      <c r="E38" s="401"/>
    </row>
    <row r="39" spans="1:5" x14ac:dyDescent="0.15">
      <c r="A39" s="401"/>
      <c r="B39" s="401" t="s">
        <v>263</v>
      </c>
      <c r="C39" s="401"/>
      <c r="D39" s="401"/>
      <c r="E39" s="401"/>
    </row>
    <row r="40" spans="1:5" x14ac:dyDescent="0.15">
      <c r="A40" s="401"/>
      <c r="B40" s="401" t="s">
        <v>264</v>
      </c>
      <c r="C40" s="401"/>
      <c r="D40" s="401"/>
      <c r="E40" s="401"/>
    </row>
    <row r="41" spans="1:5" x14ac:dyDescent="0.15">
      <c r="A41" s="401"/>
      <c r="B41" s="401" t="s">
        <v>265</v>
      </c>
      <c r="C41" s="401"/>
      <c r="D41" s="401"/>
      <c r="E41" s="401"/>
    </row>
    <row r="42" spans="1:5" x14ac:dyDescent="0.15">
      <c r="A42" s="401"/>
      <c r="B42" s="401" t="s">
        <v>266</v>
      </c>
      <c r="C42" s="401"/>
      <c r="D42" s="401"/>
      <c r="E42" s="401"/>
    </row>
    <row r="43" spans="1:5" x14ac:dyDescent="0.15">
      <c r="A43" s="401"/>
      <c r="B43" s="401"/>
      <c r="C43" s="401"/>
      <c r="D43" s="401"/>
      <c r="E43" s="401"/>
    </row>
    <row r="44" spans="1:5" x14ac:dyDescent="0.15">
      <c r="A44" s="401" t="s">
        <v>267</v>
      </c>
      <c r="B44" s="401"/>
      <c r="C44" s="401"/>
      <c r="D44" s="401"/>
      <c r="E44" s="401"/>
    </row>
    <row r="45" spans="1:5" x14ac:dyDescent="0.15">
      <c r="A45" s="401"/>
      <c r="B45" s="401" t="s">
        <v>268</v>
      </c>
      <c r="C45" s="401"/>
      <c r="D45" s="401"/>
      <c r="E45" s="401"/>
    </row>
    <row r="46" spans="1:5" x14ac:dyDescent="0.15">
      <c r="A46" s="401"/>
      <c r="B46" s="401" t="s">
        <v>269</v>
      </c>
      <c r="C46" s="401"/>
      <c r="D46" s="401"/>
      <c r="E46" s="401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6" t="s">
        <v>319</v>
      </c>
      <c r="E6" s="471" t="s">
        <v>320</v>
      </c>
      <c r="F6" s="471" t="s">
        <v>321</v>
      </c>
      <c r="G6" s="471" t="s">
        <v>322</v>
      </c>
    </row>
    <row r="7" spans="4:7" ht="64.5" customHeight="1" x14ac:dyDescent="0.15">
      <c r="D7" s="907"/>
      <c r="E7" s="472"/>
      <c r="F7" s="472"/>
      <c r="G7" s="472"/>
    </row>
    <row r="8" spans="4:7" ht="20.25" customHeight="1" x14ac:dyDescent="0.15">
      <c r="D8" s="907"/>
      <c r="E8" s="473" t="s">
        <v>371</v>
      </c>
      <c r="F8" s="473" t="s">
        <v>366</v>
      </c>
      <c r="G8" s="473" t="s">
        <v>424</v>
      </c>
    </row>
    <row r="9" spans="4:7" ht="20.25" customHeight="1" x14ac:dyDescent="0.15">
      <c r="D9" s="908"/>
      <c r="E9" s="473" t="s">
        <v>323</v>
      </c>
      <c r="F9" s="473" t="s">
        <v>323</v>
      </c>
      <c r="G9" s="473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5" bestFit="1" customWidth="1"/>
    <col min="2" max="8" width="8.75" style="715"/>
  </cols>
  <sheetData>
    <row r="1" spans="1:8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x14ac:dyDescent="0.3">
      <c r="A2" s="716">
        <v>45688</v>
      </c>
    </row>
    <row r="3" spans="1:8" x14ac:dyDescent="0.3">
      <c r="A3" s="716">
        <v>45716</v>
      </c>
    </row>
    <row r="4" spans="1:8" x14ac:dyDescent="0.3">
      <c r="A4" s="716">
        <v>45747</v>
      </c>
    </row>
    <row r="5" spans="1:8" x14ac:dyDescent="0.3">
      <c r="A5" s="716">
        <v>45777</v>
      </c>
    </row>
    <row r="6" spans="1:8" x14ac:dyDescent="0.3">
      <c r="A6" s="716">
        <v>45808</v>
      </c>
    </row>
    <row r="7" spans="1:8" x14ac:dyDescent="0.3">
      <c r="A7" s="716">
        <v>45838</v>
      </c>
    </row>
    <row r="8" spans="1:8" x14ac:dyDescent="0.3">
      <c r="A8" s="716">
        <v>45869</v>
      </c>
    </row>
    <row r="9" spans="1:8" x14ac:dyDescent="0.3">
      <c r="A9" s="716">
        <v>45900</v>
      </c>
    </row>
    <row r="10" spans="1:8" x14ac:dyDescent="0.3">
      <c r="A10" s="716">
        <v>45930</v>
      </c>
    </row>
    <row r="11" spans="1:8" x14ac:dyDescent="0.3">
      <c r="A11" s="716">
        <v>45961</v>
      </c>
    </row>
    <row r="12" spans="1:8" x14ac:dyDescent="0.3">
      <c r="A12" s="716">
        <v>45991</v>
      </c>
    </row>
    <row r="13" spans="1:8" x14ac:dyDescent="0.3">
      <c r="A13" s="716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Kyounho Bae</cp:lastModifiedBy>
  <cp:lastPrinted>2026-06-05T02:04:24Z</cp:lastPrinted>
  <dcterms:created xsi:type="dcterms:W3CDTF">1996-12-23T01:00:32Z</dcterms:created>
  <dcterms:modified xsi:type="dcterms:W3CDTF">2026-06-05T02:05:48Z</dcterms:modified>
</cp:coreProperties>
</file>