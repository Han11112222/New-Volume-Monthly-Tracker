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2. 신규 개발량\2025년\"/>
    </mc:Choice>
  </mc:AlternateContent>
  <xr:revisionPtr revIDLastSave="0" documentId="13_ncr:1_{D5E38C38-383F-4110-B119-9766BD86EC03}" xr6:coauthVersionLast="36" xr6:coauthVersionMax="36" xr10:uidLastSave="{00000000-0000-0000-0000-000000000000}"/>
  <bookViews>
    <workbookView xWindow="0" yWindow="0" windowWidth="28800" windowHeight="12180" activeTab="3" xr2:uid="{00000000-000D-0000-FFFF-FFFF00000000}"/>
  </bookViews>
  <sheets>
    <sheet name="0. 사업계획" sheetId="4" r:id="rId1"/>
    <sheet name="1. 신규개발량_입력" sheetId="13" r:id="rId2"/>
    <sheet name="2. 월별 실적(2024년)" sheetId="3" r:id="rId3"/>
    <sheet name="3_1. 개발량 계획" sheetId="15" r:id="rId4"/>
    <sheet name="3_2. 개발량 실적" sheetId="17" r:id="rId5"/>
    <sheet name="영업용발췌(kpi관련)" sheetId="18" r:id="rId6"/>
    <sheet name="4_1. 공급전 계획" sheetId="5" r:id="rId7"/>
    <sheet name="4_2. 계약전 계획" sheetId="7" r:id="rId8"/>
    <sheet name="4_3. 일반용 판매량(2024년)" sheetId="11" r:id="rId9"/>
    <sheet name="5. 업무용 판매량(2025년)" sheetId="8" r:id="rId10"/>
    <sheet name="4_5. 산업용 판매량(2025년)" sheetId="10" r:id="rId11"/>
  </sheets>
  <definedNames>
    <definedName name="Access_Button" hidden="1">"관로9701_ENG_List"</definedName>
    <definedName name="AccessDatabase" hidden="1">"D:\김상욱\기성\관로9701.mdb"</definedName>
    <definedName name="계획데이터">'3_1. 개발량 계획'!$A$2:$O$84</definedName>
    <definedName name="실적데이터">'3_2. 개발량 실적'!$A$14:$O$95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13" l="1"/>
  <c r="D44" i="13"/>
  <c r="G3" i="17" l="1"/>
  <c r="C6" i="13"/>
  <c r="C48" i="3"/>
  <c r="R48" i="17" l="1"/>
  <c r="M11" i="5"/>
  <c r="L11" i="5"/>
  <c r="K11" i="5"/>
  <c r="J11" i="5"/>
  <c r="I11" i="5"/>
  <c r="H11" i="5"/>
  <c r="G11" i="5"/>
  <c r="F11" i="5"/>
  <c r="E11" i="5"/>
  <c r="D11" i="5"/>
  <c r="C11" i="5"/>
  <c r="B11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6" i="5"/>
  <c r="L6" i="5"/>
  <c r="K6" i="5"/>
  <c r="J6" i="5"/>
  <c r="I6" i="5"/>
  <c r="H6" i="5"/>
  <c r="G6" i="5"/>
  <c r="F6" i="5"/>
  <c r="E6" i="5"/>
  <c r="D6" i="5"/>
  <c r="C6" i="5"/>
  <c r="B6" i="5"/>
  <c r="M5" i="5"/>
  <c r="L5" i="5"/>
  <c r="K5" i="5"/>
  <c r="J5" i="5"/>
  <c r="I5" i="5"/>
  <c r="H5" i="5"/>
  <c r="G5" i="5"/>
  <c r="F5" i="5"/>
  <c r="E5" i="5"/>
  <c r="D5" i="5"/>
  <c r="C5" i="5"/>
  <c r="B5" i="5"/>
  <c r="D128" i="8"/>
  <c r="P128" i="8" s="1"/>
  <c r="E128" i="8"/>
  <c r="F128" i="8"/>
  <c r="G128" i="8"/>
  <c r="H128" i="8"/>
  <c r="I128" i="8"/>
  <c r="J128" i="8"/>
  <c r="K128" i="8"/>
  <c r="L128" i="8"/>
  <c r="M128" i="8"/>
  <c r="N128" i="8"/>
  <c r="O128" i="8"/>
  <c r="S28" i="10" l="1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37" i="17" l="1"/>
  <c r="E37" i="17" s="1"/>
  <c r="F37" i="17" s="1"/>
  <c r="G37" i="17" s="1"/>
  <c r="H37" i="17" s="1"/>
  <c r="I37" i="17" s="1"/>
  <c r="J37" i="17" s="1"/>
  <c r="K37" i="17" s="1"/>
  <c r="L37" i="17" s="1"/>
  <c r="M37" i="17" s="1"/>
  <c r="N37" i="17" s="1"/>
  <c r="D36" i="17"/>
  <c r="E36" i="17" s="1"/>
  <c r="F36" i="17" s="1"/>
  <c r="G36" i="17" s="1"/>
  <c r="H36" i="17" s="1"/>
  <c r="I36" i="17" s="1"/>
  <c r="J36" i="17" s="1"/>
  <c r="K36" i="17" s="1"/>
  <c r="L36" i="17" s="1"/>
  <c r="M36" i="17" s="1"/>
  <c r="N36" i="17" s="1"/>
  <c r="N42" i="3" l="1"/>
  <c r="M42" i="3"/>
  <c r="L42" i="3"/>
  <c r="K42" i="3"/>
  <c r="N45" i="3"/>
  <c r="M45" i="3"/>
  <c r="L45" i="3"/>
  <c r="K45" i="3"/>
  <c r="J45" i="3"/>
  <c r="I45" i="3"/>
  <c r="H45" i="3"/>
  <c r="G45" i="3"/>
  <c r="F45" i="3"/>
  <c r="E45" i="3"/>
  <c r="D45" i="3"/>
  <c r="C45" i="3"/>
  <c r="J42" i="3"/>
  <c r="I42" i="3"/>
  <c r="H42" i="3"/>
  <c r="G42" i="3"/>
  <c r="F42" i="3"/>
  <c r="E42" i="3"/>
  <c r="D42" i="3"/>
  <c r="C42" i="3"/>
  <c r="R10" i="11" l="1"/>
  <c r="D6" i="13" l="1"/>
  <c r="D7" i="13"/>
  <c r="D64" i="18" l="1"/>
  <c r="C64" i="18"/>
  <c r="B64" i="18"/>
  <c r="D62" i="18"/>
  <c r="C62" i="18"/>
  <c r="B62" i="18"/>
  <c r="D61" i="18"/>
  <c r="D60" i="18"/>
  <c r="D59" i="18"/>
  <c r="C61" i="18"/>
  <c r="B61" i="18"/>
  <c r="D57" i="18" l="1"/>
  <c r="C57" i="18"/>
  <c r="B57" i="18"/>
  <c r="D54" i="18"/>
  <c r="D56" i="18"/>
  <c r="D53" i="18"/>
  <c r="D52" i="18"/>
  <c r="D51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O42" i="18" s="1"/>
  <c r="O38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C26" i="18" s="1"/>
  <c r="D26" i="18" l="1"/>
  <c r="E26" i="18" s="1"/>
  <c r="F26" i="18" s="1"/>
  <c r="G26" i="18" s="1"/>
  <c r="H26" i="18" s="1"/>
  <c r="I26" i="18" s="1"/>
  <c r="J26" i="18" s="1"/>
  <c r="K26" i="18" s="1"/>
  <c r="L26" i="18" s="1"/>
  <c r="M26" i="18" s="1"/>
  <c r="N26" i="18" s="1"/>
  <c r="C27" i="18"/>
  <c r="O25" i="18"/>
  <c r="Q46" i="18"/>
  <c r="O26" i="18" l="1"/>
  <c r="D27" i="18"/>
  <c r="E27" i="18" s="1"/>
  <c r="F27" i="18" s="1"/>
  <c r="G27" i="18" s="1"/>
  <c r="H27" i="18" s="1"/>
  <c r="I27" i="18" s="1"/>
  <c r="J27" i="18" s="1"/>
  <c r="K27" i="18" s="1"/>
  <c r="L27" i="18" s="1"/>
  <c r="M27" i="18" s="1"/>
  <c r="N27" i="18" s="1"/>
  <c r="O45" i="18"/>
  <c r="D40" i="18"/>
  <c r="C40" i="18"/>
  <c r="O27" i="18" l="1"/>
  <c r="N19" i="18"/>
  <c r="N22" i="18" s="1"/>
  <c r="M19" i="18"/>
  <c r="M22" i="18" s="1"/>
  <c r="L19" i="18"/>
  <c r="L22" i="18" s="1"/>
  <c r="K19" i="18"/>
  <c r="K22" i="18" s="1"/>
  <c r="J19" i="18"/>
  <c r="J22" i="18" s="1"/>
  <c r="I19" i="18"/>
  <c r="I22" i="18" s="1"/>
  <c r="H19" i="18"/>
  <c r="H22" i="18" s="1"/>
  <c r="G19" i="18"/>
  <c r="G22" i="18" s="1"/>
  <c r="F19" i="18"/>
  <c r="F22" i="18" s="1"/>
  <c r="E19" i="18"/>
  <c r="E22" i="18" s="1"/>
  <c r="D19" i="18"/>
  <c r="D22" i="18" s="1"/>
  <c r="C19" i="18"/>
  <c r="C32" i="18"/>
  <c r="D32" i="18" s="1"/>
  <c r="E32" i="18" s="1"/>
  <c r="F32" i="18" s="1"/>
  <c r="G32" i="18" s="1"/>
  <c r="H32" i="18" s="1"/>
  <c r="I32" i="18" s="1"/>
  <c r="J32" i="18" s="1"/>
  <c r="K32" i="18" s="1"/>
  <c r="L32" i="18" s="1"/>
  <c r="M32" i="18" s="1"/>
  <c r="N32" i="18" s="1"/>
  <c r="O31" i="18"/>
  <c r="N9" i="18"/>
  <c r="M9" i="18"/>
  <c r="L9" i="18"/>
  <c r="K9" i="18"/>
  <c r="J9" i="18"/>
  <c r="I9" i="18"/>
  <c r="H9" i="18"/>
  <c r="G9" i="18"/>
  <c r="F9" i="18"/>
  <c r="E9" i="18"/>
  <c r="D9" i="18"/>
  <c r="C9" i="18"/>
  <c r="C10" i="18" s="1"/>
  <c r="C7" i="18"/>
  <c r="D7" i="18" s="1"/>
  <c r="E7" i="18" s="1"/>
  <c r="F7" i="18" s="1"/>
  <c r="G7" i="18" s="1"/>
  <c r="H7" i="18" s="1"/>
  <c r="I7" i="18" s="1"/>
  <c r="J7" i="18" s="1"/>
  <c r="K7" i="18" s="1"/>
  <c r="L7" i="18" s="1"/>
  <c r="M7" i="18" s="1"/>
  <c r="N7" i="18" s="1"/>
  <c r="O6" i="18"/>
  <c r="O34" i="18" l="1"/>
  <c r="O19" i="18"/>
  <c r="C20" i="18"/>
  <c r="D20" i="18" s="1"/>
  <c r="E20" i="18" s="1"/>
  <c r="F20" i="18" s="1"/>
  <c r="G20" i="18" s="1"/>
  <c r="H20" i="18" s="1"/>
  <c r="I20" i="18" s="1"/>
  <c r="J20" i="18" s="1"/>
  <c r="K20" i="18" s="1"/>
  <c r="L20" i="18" s="1"/>
  <c r="M20" i="18" s="1"/>
  <c r="N20" i="18" s="1"/>
  <c r="C22" i="18"/>
  <c r="C23" i="18" s="1"/>
  <c r="D23" i="18" s="1"/>
  <c r="E23" i="18" s="1"/>
  <c r="C11" i="18"/>
  <c r="D10" i="18"/>
  <c r="E10" i="18" s="1"/>
  <c r="F10" i="18" s="1"/>
  <c r="G10" i="18" s="1"/>
  <c r="H10" i="18" s="1"/>
  <c r="I10" i="18" s="1"/>
  <c r="J10" i="18" s="1"/>
  <c r="K10" i="18" s="1"/>
  <c r="L10" i="18" s="1"/>
  <c r="M10" i="18" s="1"/>
  <c r="N10" i="18" s="1"/>
  <c r="O9" i="18"/>
  <c r="N35" i="17"/>
  <c r="M35" i="17"/>
  <c r="F23" i="18" l="1"/>
  <c r="E40" i="18"/>
  <c r="O22" i="18"/>
  <c r="C24" i="18"/>
  <c r="D24" i="18" s="1"/>
  <c r="E24" i="18" s="1"/>
  <c r="O10" i="18"/>
  <c r="D11" i="18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O11" i="18" l="1"/>
  <c r="F24" i="18"/>
  <c r="G23" i="18"/>
  <c r="F40" i="18"/>
  <c r="L35" i="17"/>
  <c r="H23" i="18" l="1"/>
  <c r="G40" i="18"/>
  <c r="G24" i="18"/>
  <c r="I21" i="15"/>
  <c r="J21" i="15"/>
  <c r="K21" i="15"/>
  <c r="L21" i="15"/>
  <c r="M21" i="15"/>
  <c r="N21" i="15"/>
  <c r="I24" i="15"/>
  <c r="J24" i="15"/>
  <c r="K24" i="15"/>
  <c r="L24" i="15"/>
  <c r="M24" i="15"/>
  <c r="N24" i="15"/>
  <c r="I23" i="18" l="1"/>
  <c r="H40" i="18"/>
  <c r="H24" i="18"/>
  <c r="J23" i="18" l="1"/>
  <c r="I40" i="18"/>
  <c r="I24" i="18"/>
  <c r="J24" i="18" s="1"/>
  <c r="K23" i="18" l="1"/>
  <c r="K24" i="18" s="1"/>
  <c r="J40" i="18"/>
  <c r="Q100" i="15"/>
  <c r="L23" i="18" l="1"/>
  <c r="K40" i="18"/>
  <c r="L24" i="18"/>
  <c r="N95" i="15"/>
  <c r="M95" i="15"/>
  <c r="L95" i="15"/>
  <c r="K95" i="15"/>
  <c r="J95" i="15"/>
  <c r="I95" i="15"/>
  <c r="H95" i="15"/>
  <c r="G95" i="15"/>
  <c r="F95" i="15"/>
  <c r="E95" i="15"/>
  <c r="D95" i="15"/>
  <c r="M23" i="18" l="1"/>
  <c r="M24" i="18" s="1"/>
  <c r="L40" i="18"/>
  <c r="C11" i="4"/>
  <c r="D11" i="4"/>
  <c r="E11" i="4"/>
  <c r="F11" i="4"/>
  <c r="G11" i="4"/>
  <c r="H11" i="4"/>
  <c r="I11" i="4"/>
  <c r="J11" i="4"/>
  <c r="K11" i="4"/>
  <c r="L11" i="4"/>
  <c r="M11" i="4"/>
  <c r="N11" i="4"/>
  <c r="N23" i="18" l="1"/>
  <c r="M40" i="18"/>
  <c r="N40" i="18" l="1"/>
  <c r="O40" i="18" s="1"/>
  <c r="Q40" i="18" s="1"/>
  <c r="O23" i="18"/>
  <c r="N24" i="18"/>
  <c r="T24" i="15"/>
  <c r="T21" i="15"/>
  <c r="O24" i="18" l="1"/>
  <c r="C100" i="15"/>
  <c r="D100" i="15"/>
  <c r="E100" i="15"/>
  <c r="F100" i="15"/>
  <c r="G100" i="15"/>
  <c r="H100" i="15"/>
  <c r="I100" i="15"/>
  <c r="J100" i="15"/>
  <c r="K100" i="15"/>
  <c r="L100" i="15"/>
  <c r="M100" i="15"/>
  <c r="N100" i="15"/>
  <c r="O99" i="15"/>
  <c r="D27" i="13" l="1"/>
  <c r="D26" i="13"/>
  <c r="C27" i="13"/>
  <c r="C12" i="13"/>
  <c r="C11" i="13"/>
  <c r="C10" i="13"/>
  <c r="C9" i="13"/>
  <c r="C7" i="13"/>
  <c r="U21" i="10" l="1"/>
  <c r="K47" i="10" l="1"/>
  <c r="L47" i="10"/>
  <c r="L46" i="10" s="1"/>
  <c r="M47" i="10"/>
  <c r="N47" i="10"/>
  <c r="O47" i="10"/>
  <c r="P47" i="10"/>
  <c r="E47" i="10"/>
  <c r="E46" i="10" s="1"/>
  <c r="F47" i="10"/>
  <c r="G47" i="10"/>
  <c r="G46" i="10" s="1"/>
  <c r="E36" i="15" s="1"/>
  <c r="H47" i="10"/>
  <c r="H46" i="10" s="1"/>
  <c r="I47" i="10"/>
  <c r="J47" i="10"/>
  <c r="K39" i="10"/>
  <c r="L39" i="10"/>
  <c r="M39" i="10"/>
  <c r="N39" i="10"/>
  <c r="O39" i="10"/>
  <c r="O38" i="10" s="1"/>
  <c r="M73" i="15" s="1"/>
  <c r="P39" i="10"/>
  <c r="E39" i="10"/>
  <c r="F39" i="10"/>
  <c r="G39" i="10"/>
  <c r="H39" i="10"/>
  <c r="I39" i="10"/>
  <c r="J39" i="10"/>
  <c r="T20" i="10"/>
  <c r="Q32" i="10"/>
  <c r="Q33" i="10" s="1"/>
  <c r="K32" i="10"/>
  <c r="L32" i="10"/>
  <c r="M32" i="10"/>
  <c r="N32" i="10"/>
  <c r="O32" i="10"/>
  <c r="P32" i="10"/>
  <c r="E32" i="10"/>
  <c r="F32" i="10"/>
  <c r="G32" i="10"/>
  <c r="H32" i="10"/>
  <c r="I32" i="10"/>
  <c r="J32" i="10"/>
  <c r="P102" i="8"/>
  <c r="J102" i="8"/>
  <c r="J123" i="8" s="1"/>
  <c r="J124" i="8" s="1"/>
  <c r="K102" i="8"/>
  <c r="K123" i="8" s="1"/>
  <c r="K124" i="8" s="1"/>
  <c r="L102" i="8"/>
  <c r="L123" i="8" s="1"/>
  <c r="L124" i="8" s="1"/>
  <c r="M102" i="8"/>
  <c r="M123" i="8" s="1"/>
  <c r="M124" i="8" s="1"/>
  <c r="N102" i="8"/>
  <c r="N123" i="8" s="1"/>
  <c r="N124" i="8" s="1"/>
  <c r="O102" i="8"/>
  <c r="O123" i="8" s="1"/>
  <c r="O124" i="8" s="1"/>
  <c r="D102" i="8"/>
  <c r="D123" i="8" s="1"/>
  <c r="E102" i="8"/>
  <c r="E123" i="8" s="1"/>
  <c r="E124" i="8" s="1"/>
  <c r="F102" i="8"/>
  <c r="F123" i="8" s="1"/>
  <c r="F124" i="8" s="1"/>
  <c r="G102" i="8"/>
  <c r="G123" i="8" s="1"/>
  <c r="G124" i="8" s="1"/>
  <c r="H102" i="8"/>
  <c r="H123" i="8" s="1"/>
  <c r="H124" i="8" s="1"/>
  <c r="I102" i="8"/>
  <c r="I123" i="8" s="1"/>
  <c r="I124" i="8" s="1"/>
  <c r="S72" i="8"/>
  <c r="P123" i="8" l="1"/>
  <c r="D124" i="8"/>
  <c r="K46" i="10"/>
  <c r="F46" i="10"/>
  <c r="I33" i="10"/>
  <c r="I58" i="10" s="1"/>
  <c r="I59" i="10" s="1"/>
  <c r="I53" i="10"/>
  <c r="I54" i="10" s="1"/>
  <c r="G33" i="10"/>
  <c r="G58" i="10" s="1"/>
  <c r="G59" i="10" s="1"/>
  <c r="G53" i="10"/>
  <c r="G54" i="10" s="1"/>
  <c r="H33" i="10"/>
  <c r="H58" i="10" s="1"/>
  <c r="H59" i="10" s="1"/>
  <c r="H53" i="10"/>
  <c r="H54" i="10" s="1"/>
  <c r="L33" i="10"/>
  <c r="L58" i="10" s="1"/>
  <c r="L59" i="10" s="1"/>
  <c r="L53" i="10"/>
  <c r="L54" i="10" s="1"/>
  <c r="K33" i="10"/>
  <c r="K58" i="10" s="1"/>
  <c r="K59" i="10" s="1"/>
  <c r="K53" i="10"/>
  <c r="K54" i="10" s="1"/>
  <c r="F33" i="10"/>
  <c r="F58" i="10" s="1"/>
  <c r="F59" i="10" s="1"/>
  <c r="F53" i="10"/>
  <c r="F54" i="10" s="1"/>
  <c r="O33" i="10"/>
  <c r="O58" i="10" s="1"/>
  <c r="O59" i="10" s="1"/>
  <c r="O53" i="10"/>
  <c r="O54" i="10" s="1"/>
  <c r="M33" i="10"/>
  <c r="M58" i="10" s="1"/>
  <c r="M59" i="10" s="1"/>
  <c r="M53" i="10"/>
  <c r="M54" i="10" s="1"/>
  <c r="E33" i="10"/>
  <c r="E58" i="10" s="1"/>
  <c r="E53" i="10"/>
  <c r="P33" i="10"/>
  <c r="P58" i="10" s="1"/>
  <c r="P59" i="10" s="1"/>
  <c r="P53" i="10"/>
  <c r="P54" i="10" s="1"/>
  <c r="J33" i="10"/>
  <c r="J58" i="10" s="1"/>
  <c r="J59" i="10" s="1"/>
  <c r="J53" i="10"/>
  <c r="J54" i="10" s="1"/>
  <c r="N33" i="10"/>
  <c r="N58" i="10" s="1"/>
  <c r="N59" i="10" s="1"/>
  <c r="N53" i="10"/>
  <c r="N54" i="10" s="1"/>
  <c r="I38" i="10"/>
  <c r="G73" i="15" s="1"/>
  <c r="P38" i="10"/>
  <c r="N73" i="15" s="1"/>
  <c r="N46" i="10"/>
  <c r="L36" i="15" s="1"/>
  <c r="H38" i="10"/>
  <c r="F73" i="15" s="1"/>
  <c r="F36" i="15"/>
  <c r="P46" i="10"/>
  <c r="N36" i="15" s="1"/>
  <c r="O46" i="10"/>
  <c r="M36" i="15" s="1"/>
  <c r="J46" i="10"/>
  <c r="H36" i="15" s="1"/>
  <c r="I46" i="10"/>
  <c r="M46" i="10"/>
  <c r="P124" i="8"/>
  <c r="G38" i="10"/>
  <c r="E73" i="15" s="1"/>
  <c r="I36" i="15"/>
  <c r="J36" i="15"/>
  <c r="E48" i="10"/>
  <c r="F48" i="10" s="1"/>
  <c r="G48" i="10" s="1"/>
  <c r="H48" i="10" s="1"/>
  <c r="I48" i="10" s="1"/>
  <c r="J48" i="10" s="1"/>
  <c r="K48" i="10" s="1"/>
  <c r="L48" i="10" s="1"/>
  <c r="M48" i="10" s="1"/>
  <c r="N48" i="10" s="1"/>
  <c r="O48" i="10" s="1"/>
  <c r="P48" i="10" s="1"/>
  <c r="Q47" i="10"/>
  <c r="C36" i="15"/>
  <c r="C26" i="13" s="1"/>
  <c r="K36" i="15"/>
  <c r="D36" i="15"/>
  <c r="J38" i="10"/>
  <c r="H73" i="15" s="1"/>
  <c r="K38" i="10"/>
  <c r="I73" i="15" s="1"/>
  <c r="R32" i="10"/>
  <c r="T32" i="10" s="1"/>
  <c r="L38" i="10"/>
  <c r="J73" i="15" s="1"/>
  <c r="E38" i="10"/>
  <c r="M38" i="10"/>
  <c r="K73" i="15" s="1"/>
  <c r="Q39" i="10"/>
  <c r="Q40" i="10" s="1"/>
  <c r="F38" i="10"/>
  <c r="D73" i="15" s="1"/>
  <c r="N38" i="10"/>
  <c r="L73" i="15" s="1"/>
  <c r="E40" i="10"/>
  <c r="F40" i="10" s="1"/>
  <c r="G40" i="10" s="1"/>
  <c r="H40" i="10" s="1"/>
  <c r="I40" i="10" s="1"/>
  <c r="J40" i="10" s="1"/>
  <c r="K40" i="10" s="1"/>
  <c r="L40" i="10" s="1"/>
  <c r="M40" i="10" s="1"/>
  <c r="N40" i="10" s="1"/>
  <c r="O40" i="10" s="1"/>
  <c r="P40" i="10" s="1"/>
  <c r="E34" i="10" l="1"/>
  <c r="R33" i="10"/>
  <c r="E54" i="10"/>
  <c r="Q53" i="10"/>
  <c r="Q54" i="10" s="1"/>
  <c r="Q58" i="10"/>
  <c r="Q59" i="10" s="1"/>
  <c r="E59" i="10"/>
  <c r="Q46" i="10"/>
  <c r="G36" i="15"/>
  <c r="Q38" i="10"/>
  <c r="E42" i="10"/>
  <c r="E43" i="10" s="1"/>
  <c r="C73" i="15"/>
  <c r="Q48" i="10"/>
  <c r="E35" i="10"/>
  <c r="F34" i="10"/>
  <c r="G34" i="10" s="1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T34" i="10" s="1"/>
  <c r="F42" i="10" l="1"/>
  <c r="G42" i="10" s="1"/>
  <c r="T47" i="10"/>
  <c r="F35" i="10"/>
  <c r="G35" i="10" s="1"/>
  <c r="H35" i="10" s="1"/>
  <c r="I35" i="10" s="1"/>
  <c r="J35" i="10" s="1"/>
  <c r="K35" i="10" s="1"/>
  <c r="L35" i="10" s="1"/>
  <c r="M35" i="10" s="1"/>
  <c r="N35" i="10" s="1"/>
  <c r="O35" i="10" s="1"/>
  <c r="P35" i="10" s="1"/>
  <c r="Q35" i="10" s="1"/>
  <c r="F43" i="10" l="1"/>
  <c r="G43" i="10"/>
  <c r="H42" i="10"/>
  <c r="I42" i="10" l="1"/>
  <c r="H43" i="10"/>
  <c r="J42" i="10" l="1"/>
  <c r="I43" i="10"/>
  <c r="K42" i="10" l="1"/>
  <c r="J43" i="10"/>
  <c r="L42" i="10" l="1"/>
  <c r="K43" i="10"/>
  <c r="M42" i="10" l="1"/>
  <c r="L43" i="10"/>
  <c r="N42" i="10" l="1"/>
  <c r="M43" i="10"/>
  <c r="O42" i="10" l="1"/>
  <c r="N43" i="10"/>
  <c r="P42" i="10" l="1"/>
  <c r="P43" i="10" s="1"/>
  <c r="O43" i="10"/>
  <c r="C95" i="15" l="1"/>
  <c r="B23" i="5" l="1"/>
  <c r="C23" i="5"/>
  <c r="D23" i="5"/>
  <c r="E23" i="5"/>
  <c r="F23" i="5"/>
  <c r="G23" i="5"/>
  <c r="H23" i="5"/>
  <c r="I23" i="5"/>
  <c r="J23" i="5"/>
  <c r="K23" i="5"/>
  <c r="L23" i="5"/>
  <c r="M23" i="5"/>
  <c r="G27" i="13"/>
  <c r="G26" i="13"/>
  <c r="G25" i="13"/>
  <c r="F27" i="13"/>
  <c r="Q15" i="13"/>
  <c r="Q14" i="13"/>
  <c r="M15" i="13"/>
  <c r="M14" i="13"/>
  <c r="E26" i="13" l="1"/>
  <c r="E27" i="13"/>
  <c r="H27" i="13"/>
  <c r="F12" i="13" l="1"/>
  <c r="F11" i="13"/>
  <c r="F10" i="13"/>
  <c r="F9" i="13"/>
  <c r="F7" i="13"/>
  <c r="F6" i="13"/>
  <c r="Q103" i="17" l="1"/>
  <c r="R42" i="17"/>
  <c r="R39" i="17"/>
  <c r="H39" i="17" s="1"/>
  <c r="G10" i="17" l="1"/>
  <c r="B10" i="17"/>
  <c r="N81" i="15" l="1"/>
  <c r="L81" i="15"/>
  <c r="K81" i="15"/>
  <c r="G44" i="15"/>
  <c r="F44" i="15"/>
  <c r="E44" i="15"/>
  <c r="D44" i="15"/>
  <c r="O103" i="17"/>
  <c r="D92" i="17"/>
  <c r="E92" i="17"/>
  <c r="F92" i="17"/>
  <c r="K92" i="17"/>
  <c r="L92" i="17"/>
  <c r="C92" i="17"/>
  <c r="G92" i="17"/>
  <c r="H92" i="17"/>
  <c r="I92" i="17"/>
  <c r="J92" i="17"/>
  <c r="M92" i="17"/>
  <c r="N92" i="17"/>
  <c r="C81" i="15"/>
  <c r="D81" i="15"/>
  <c r="E81" i="15"/>
  <c r="F81" i="15"/>
  <c r="G81" i="15"/>
  <c r="H81" i="15"/>
  <c r="I81" i="15"/>
  <c r="M81" i="15"/>
  <c r="C10" i="17" l="1"/>
  <c r="D10" i="17" s="1"/>
  <c r="O98" i="15"/>
  <c r="J81" i="15"/>
  <c r="H44" i="15"/>
  <c r="C44" i="15"/>
  <c r="R98" i="15" l="1"/>
  <c r="O100" i="15"/>
  <c r="I44" i="15"/>
  <c r="J44" i="15"/>
  <c r="C58" i="17"/>
  <c r="D58" i="17" s="1"/>
  <c r="E58" i="17" s="1"/>
  <c r="F58" i="17" s="1"/>
  <c r="G58" i="17" s="1"/>
  <c r="H58" i="17" s="1"/>
  <c r="I58" i="17" s="1"/>
  <c r="J58" i="17" s="1"/>
  <c r="K58" i="17" s="1"/>
  <c r="L58" i="17" s="1"/>
  <c r="M58" i="17" s="1"/>
  <c r="N58" i="17" s="1"/>
  <c r="C35" i="17"/>
  <c r="D35" i="17"/>
  <c r="E35" i="17"/>
  <c r="F35" i="17"/>
  <c r="G35" i="17"/>
  <c r="H35" i="17"/>
  <c r="H69" i="17" s="1"/>
  <c r="I35" i="17"/>
  <c r="J35" i="17"/>
  <c r="K35" i="17"/>
  <c r="K84" i="17" l="1"/>
  <c r="K81" i="17"/>
  <c r="K87" i="17"/>
  <c r="K82" i="17"/>
  <c r="K85" i="17"/>
  <c r="C100" i="17"/>
  <c r="C62" i="17" s="1"/>
  <c r="C87" i="17"/>
  <c r="C88" i="17" s="1"/>
  <c r="C89" i="17" s="1"/>
  <c r="C81" i="17"/>
  <c r="C82" i="17" s="1"/>
  <c r="C83" i="17" s="1"/>
  <c r="C84" i="17"/>
  <c r="C85" i="17" s="1"/>
  <c r="C86" i="17" s="1"/>
  <c r="I84" i="17"/>
  <c r="I85" i="17" s="1"/>
  <c r="I87" i="17"/>
  <c r="I81" i="17"/>
  <c r="I82" i="17" s="1"/>
  <c r="H87" i="17"/>
  <c r="H84" i="17"/>
  <c r="H85" i="17" s="1"/>
  <c r="H81" i="17"/>
  <c r="H82" i="17" s="1"/>
  <c r="G84" i="17"/>
  <c r="G85" i="17" s="1"/>
  <c r="G81" i="17"/>
  <c r="G82" i="17" s="1"/>
  <c r="G87" i="17"/>
  <c r="L87" i="17"/>
  <c r="L81" i="17"/>
  <c r="L82" i="17" s="1"/>
  <c r="L84" i="17"/>
  <c r="L85" i="17" s="1"/>
  <c r="J84" i="17"/>
  <c r="J85" i="17" s="1"/>
  <c r="J87" i="17"/>
  <c r="J81" i="17"/>
  <c r="J82" i="17" s="1"/>
  <c r="N84" i="17"/>
  <c r="N85" i="17" s="1"/>
  <c r="N87" i="17"/>
  <c r="N81" i="17"/>
  <c r="F84" i="17"/>
  <c r="F85" i="17" s="1"/>
  <c r="F87" i="17"/>
  <c r="F81" i="17"/>
  <c r="F82" i="17" s="1"/>
  <c r="D87" i="17"/>
  <c r="D81" i="17"/>
  <c r="D82" i="17" s="1"/>
  <c r="D84" i="17"/>
  <c r="D85" i="17" s="1"/>
  <c r="M87" i="17"/>
  <c r="M84" i="17"/>
  <c r="M85" i="17" s="1"/>
  <c r="E84" i="17"/>
  <c r="E85" i="17" s="1"/>
  <c r="E87" i="17"/>
  <c r="E81" i="17"/>
  <c r="E82" i="17" s="1"/>
  <c r="K44" i="15"/>
  <c r="C59" i="17"/>
  <c r="O57" i="17"/>
  <c r="C55" i="17"/>
  <c r="C52" i="17"/>
  <c r="N42" i="17"/>
  <c r="N72" i="17" s="1"/>
  <c r="M42" i="17"/>
  <c r="M72" i="17" s="1"/>
  <c r="L42" i="17"/>
  <c r="L72" i="17" s="1"/>
  <c r="K42" i="17"/>
  <c r="K72" i="17" s="1"/>
  <c r="J42" i="17"/>
  <c r="J72" i="17" s="1"/>
  <c r="I42" i="17"/>
  <c r="H42" i="17"/>
  <c r="H72" i="17" s="1"/>
  <c r="G42" i="17"/>
  <c r="G72" i="17" s="1"/>
  <c r="F42" i="17"/>
  <c r="F72" i="17" s="1"/>
  <c r="E42" i="17"/>
  <c r="E72" i="17" s="1"/>
  <c r="D42" i="17"/>
  <c r="D72" i="17" s="1"/>
  <c r="C42" i="17"/>
  <c r="N39" i="17"/>
  <c r="M39" i="17"/>
  <c r="L39" i="17"/>
  <c r="K39" i="17"/>
  <c r="J39" i="17"/>
  <c r="I39" i="17"/>
  <c r="G39" i="17"/>
  <c r="F39" i="17"/>
  <c r="E39" i="17"/>
  <c r="D39" i="17"/>
  <c r="C39" i="17"/>
  <c r="D21" i="13" s="1"/>
  <c r="N28" i="17"/>
  <c r="M28" i="17"/>
  <c r="L28" i="17"/>
  <c r="K28" i="17"/>
  <c r="J28" i="17"/>
  <c r="I28" i="17"/>
  <c r="H28" i="17"/>
  <c r="G28" i="17"/>
  <c r="F28" i="17"/>
  <c r="E28" i="17"/>
  <c r="D28" i="17"/>
  <c r="C28" i="17"/>
  <c r="C29" i="17" s="1"/>
  <c r="C27" i="17"/>
  <c r="D27" i="17" s="1"/>
  <c r="E27" i="17" s="1"/>
  <c r="F27" i="17" s="1"/>
  <c r="G27" i="17" s="1"/>
  <c r="H27" i="17" s="1"/>
  <c r="I27" i="17" s="1"/>
  <c r="J27" i="17" s="1"/>
  <c r="K27" i="17" s="1"/>
  <c r="L27" i="17" s="1"/>
  <c r="M27" i="17" s="1"/>
  <c r="N27" i="17" s="1"/>
  <c r="O26" i="17"/>
  <c r="S12" i="13" s="1"/>
  <c r="C25" i="17"/>
  <c r="D25" i="17" s="1"/>
  <c r="E25" i="17" s="1"/>
  <c r="F25" i="17" s="1"/>
  <c r="G25" i="17" s="1"/>
  <c r="H25" i="17" s="1"/>
  <c r="I25" i="17" s="1"/>
  <c r="J25" i="17" s="1"/>
  <c r="K25" i="17" s="1"/>
  <c r="L25" i="17" s="1"/>
  <c r="M25" i="17" s="1"/>
  <c r="N25" i="17" s="1"/>
  <c r="O24" i="17"/>
  <c r="S11" i="13" s="1"/>
  <c r="C23" i="17"/>
  <c r="D23" i="17" s="1"/>
  <c r="E23" i="17" s="1"/>
  <c r="F23" i="17" s="1"/>
  <c r="G23" i="17" s="1"/>
  <c r="H23" i="17" s="1"/>
  <c r="I23" i="17" s="1"/>
  <c r="J23" i="17" s="1"/>
  <c r="K23" i="17" s="1"/>
  <c r="L23" i="17" s="1"/>
  <c r="M23" i="17" s="1"/>
  <c r="N23" i="17" s="1"/>
  <c r="O22" i="17"/>
  <c r="S10" i="13" s="1"/>
  <c r="C21" i="17"/>
  <c r="D21" i="17" s="1"/>
  <c r="E21" i="17" s="1"/>
  <c r="F21" i="17" s="1"/>
  <c r="G21" i="17" s="1"/>
  <c r="H21" i="17" s="1"/>
  <c r="I21" i="17" s="1"/>
  <c r="J21" i="17" s="1"/>
  <c r="K21" i="17" s="1"/>
  <c r="L21" i="17" s="1"/>
  <c r="M21" i="17" s="1"/>
  <c r="N21" i="17" s="1"/>
  <c r="O20" i="17"/>
  <c r="S9" i="13" s="1"/>
  <c r="N19" i="17"/>
  <c r="M19" i="17"/>
  <c r="L19" i="17"/>
  <c r="K19" i="17"/>
  <c r="J19" i="17"/>
  <c r="I19" i="17"/>
  <c r="H19" i="17"/>
  <c r="G19" i="17"/>
  <c r="F19" i="17"/>
  <c r="E19" i="17"/>
  <c r="D19" i="17"/>
  <c r="C19" i="17"/>
  <c r="C18" i="17"/>
  <c r="D18" i="17" s="1"/>
  <c r="E18" i="17" s="1"/>
  <c r="F18" i="17" s="1"/>
  <c r="G18" i="17" s="1"/>
  <c r="H18" i="17" s="1"/>
  <c r="I18" i="17" s="1"/>
  <c r="J18" i="17" s="1"/>
  <c r="K18" i="17" s="1"/>
  <c r="L18" i="17" s="1"/>
  <c r="M18" i="17" s="1"/>
  <c r="N18" i="17" s="1"/>
  <c r="O17" i="17"/>
  <c r="S7" i="13" s="1"/>
  <c r="C16" i="17"/>
  <c r="D16" i="17" s="1"/>
  <c r="E16" i="17" s="1"/>
  <c r="F16" i="17" s="1"/>
  <c r="G16" i="17" s="1"/>
  <c r="H16" i="17" s="1"/>
  <c r="I16" i="17" s="1"/>
  <c r="J16" i="17" s="1"/>
  <c r="K16" i="17" s="1"/>
  <c r="L16" i="17" s="1"/>
  <c r="O15" i="17"/>
  <c r="S6" i="13" s="1"/>
  <c r="N16" i="17" l="1"/>
  <c r="M16" i="17"/>
  <c r="C72" i="17"/>
  <c r="D22" i="13"/>
  <c r="D55" i="17"/>
  <c r="E55" i="17" s="1"/>
  <c r="C56" i="17"/>
  <c r="D56" i="17" s="1"/>
  <c r="F69" i="17"/>
  <c r="J69" i="17"/>
  <c r="C69" i="17"/>
  <c r="K69" i="17"/>
  <c r="N69" i="17"/>
  <c r="D69" i="17"/>
  <c r="L69" i="17"/>
  <c r="G69" i="17"/>
  <c r="E69" i="17"/>
  <c r="M69" i="17"/>
  <c r="D100" i="17"/>
  <c r="D62" i="17" s="1"/>
  <c r="O87" i="17"/>
  <c r="I72" i="17"/>
  <c r="G22" i="13"/>
  <c r="I69" i="17"/>
  <c r="G21" i="13"/>
  <c r="L44" i="15"/>
  <c r="N45" i="17"/>
  <c r="O39" i="17"/>
  <c r="D29" i="17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D88" i="17"/>
  <c r="E88" i="17" s="1"/>
  <c r="F88" i="17" s="1"/>
  <c r="G88" i="17" s="1"/>
  <c r="H88" i="17" s="1"/>
  <c r="I88" i="17" s="1"/>
  <c r="J88" i="17" s="1"/>
  <c r="K88" i="17" s="1"/>
  <c r="L88" i="17" s="1"/>
  <c r="M88" i="17" s="1"/>
  <c r="N88" i="17" s="1"/>
  <c r="O19" i="17"/>
  <c r="S8" i="13" s="1"/>
  <c r="S14" i="13" s="1"/>
  <c r="O28" i="17"/>
  <c r="S13" i="13" s="1"/>
  <c r="H45" i="17"/>
  <c r="I45" i="17"/>
  <c r="C53" i="17"/>
  <c r="D52" i="17"/>
  <c r="F45" i="17"/>
  <c r="J45" i="17"/>
  <c r="C45" i="17"/>
  <c r="C40" i="17"/>
  <c r="K45" i="17"/>
  <c r="G45" i="17"/>
  <c r="D45" i="17"/>
  <c r="L45" i="17"/>
  <c r="C73" i="17"/>
  <c r="E45" i="17"/>
  <c r="M45" i="17"/>
  <c r="O42" i="17"/>
  <c r="C43" i="17"/>
  <c r="O84" i="17"/>
  <c r="O54" i="17"/>
  <c r="D23" i="13" l="1"/>
  <c r="E56" i="17"/>
  <c r="E100" i="17"/>
  <c r="E62" i="17" s="1"/>
  <c r="S15" i="13"/>
  <c r="G23" i="13"/>
  <c r="M44" i="15"/>
  <c r="N44" i="15"/>
  <c r="O72" i="17"/>
  <c r="E75" i="17"/>
  <c r="D89" i="17"/>
  <c r="E89" i="17" s="1"/>
  <c r="F89" i="17" s="1"/>
  <c r="G89" i="17" s="1"/>
  <c r="H89" i="17" s="1"/>
  <c r="I89" i="17" s="1"/>
  <c r="J89" i="17" s="1"/>
  <c r="K89" i="17" s="1"/>
  <c r="L89" i="17" s="1"/>
  <c r="M89" i="17" s="1"/>
  <c r="N89" i="17" s="1"/>
  <c r="Q89" i="17" s="1"/>
  <c r="M75" i="17"/>
  <c r="C46" i="17"/>
  <c r="O45" i="17"/>
  <c r="I75" i="17"/>
  <c r="D83" i="17"/>
  <c r="L75" i="17"/>
  <c r="F75" i="17"/>
  <c r="D53" i="17"/>
  <c r="G75" i="17"/>
  <c r="O60" i="17"/>
  <c r="C44" i="17"/>
  <c r="D43" i="17"/>
  <c r="E43" i="17" s="1"/>
  <c r="F43" i="17" s="1"/>
  <c r="G43" i="17" s="1"/>
  <c r="H43" i="17" s="1"/>
  <c r="I43" i="17" s="1"/>
  <c r="J43" i="17" s="1"/>
  <c r="K43" i="17" s="1"/>
  <c r="L43" i="17" s="1"/>
  <c r="M43" i="17" s="1"/>
  <c r="N43" i="17" s="1"/>
  <c r="D75" i="17"/>
  <c r="J75" i="17"/>
  <c r="H75" i="17"/>
  <c r="D86" i="17"/>
  <c r="E52" i="17"/>
  <c r="O90" i="17"/>
  <c r="K75" i="17"/>
  <c r="F55" i="17"/>
  <c r="F56" i="17" s="1"/>
  <c r="D59" i="17"/>
  <c r="E59" i="17" s="1"/>
  <c r="F59" i="17" s="1"/>
  <c r="G59" i="17" s="1"/>
  <c r="H59" i="17" s="1"/>
  <c r="I59" i="17" s="1"/>
  <c r="J59" i="17" s="1"/>
  <c r="K59" i="17" s="1"/>
  <c r="L59" i="17" s="1"/>
  <c r="M59" i="17" s="1"/>
  <c r="N59" i="17" s="1"/>
  <c r="N75" i="17"/>
  <c r="C75" i="17"/>
  <c r="C70" i="17"/>
  <c r="O69" i="17"/>
  <c r="O58" i="17"/>
  <c r="J27" i="13" s="1"/>
  <c r="D73" i="17"/>
  <c r="E73" i="17" s="1"/>
  <c r="F73" i="17" s="1"/>
  <c r="G73" i="17" s="1"/>
  <c r="H73" i="17" s="1"/>
  <c r="I73" i="17" s="1"/>
  <c r="J73" i="17" s="1"/>
  <c r="K73" i="17" s="1"/>
  <c r="L73" i="17" s="1"/>
  <c r="M73" i="17" s="1"/>
  <c r="N73" i="17" s="1"/>
  <c r="C74" i="17"/>
  <c r="O88" i="17"/>
  <c r="D40" i="17"/>
  <c r="C41" i="17"/>
  <c r="F100" i="17" l="1"/>
  <c r="G100" i="17" s="1"/>
  <c r="D30" i="13"/>
  <c r="O95" i="15"/>
  <c r="R95" i="15" s="1"/>
  <c r="D41" i="17"/>
  <c r="D74" i="17"/>
  <c r="E74" i="17" s="1"/>
  <c r="F74" i="17" s="1"/>
  <c r="G74" i="17" s="1"/>
  <c r="H74" i="17" s="1"/>
  <c r="I74" i="17" s="1"/>
  <c r="J74" i="17" s="1"/>
  <c r="K74" i="17" s="1"/>
  <c r="O73" i="17"/>
  <c r="E86" i="17"/>
  <c r="O43" i="17"/>
  <c r="D44" i="17"/>
  <c r="E44" i="17" s="1"/>
  <c r="F44" i="17" s="1"/>
  <c r="G44" i="17" s="1"/>
  <c r="H44" i="17" s="1"/>
  <c r="I44" i="17" s="1"/>
  <c r="J44" i="17" s="1"/>
  <c r="K44" i="17" s="1"/>
  <c r="O59" i="17"/>
  <c r="E53" i="17"/>
  <c r="E40" i="17"/>
  <c r="C47" i="17"/>
  <c r="D46" i="17"/>
  <c r="E46" i="17" s="1"/>
  <c r="F46" i="17" s="1"/>
  <c r="G46" i="17" s="1"/>
  <c r="H46" i="17" s="1"/>
  <c r="I46" i="17" s="1"/>
  <c r="J46" i="17" s="1"/>
  <c r="K46" i="17" s="1"/>
  <c r="L46" i="17" s="1"/>
  <c r="M46" i="17" s="1"/>
  <c r="N46" i="17" s="1"/>
  <c r="O89" i="17"/>
  <c r="D70" i="17"/>
  <c r="C71" i="17"/>
  <c r="E83" i="17"/>
  <c r="C76" i="17"/>
  <c r="O75" i="17"/>
  <c r="F52" i="17"/>
  <c r="G55" i="17"/>
  <c r="G56" i="17" s="1"/>
  <c r="F62" i="17" l="1"/>
  <c r="E41" i="17"/>
  <c r="G62" i="17"/>
  <c r="H100" i="17"/>
  <c r="L44" i="17"/>
  <c r="M44" i="17" s="1"/>
  <c r="N44" i="17" s="1"/>
  <c r="O44" i="17" s="1"/>
  <c r="L74" i="17"/>
  <c r="M74" i="17" s="1"/>
  <c r="N74" i="17" s="1"/>
  <c r="Q74" i="17" s="1"/>
  <c r="C4" i="17"/>
  <c r="J22" i="13"/>
  <c r="D71" i="17"/>
  <c r="F83" i="17"/>
  <c r="E70" i="17"/>
  <c r="G52" i="17"/>
  <c r="H55" i="17"/>
  <c r="H56" i="17" s="1"/>
  <c r="F86" i="17"/>
  <c r="O91" i="17"/>
  <c r="O46" i="17"/>
  <c r="J23" i="13" s="1"/>
  <c r="F40" i="17"/>
  <c r="D47" i="17"/>
  <c r="D76" i="17"/>
  <c r="E76" i="17" s="1"/>
  <c r="F76" i="17" s="1"/>
  <c r="G76" i="17" s="1"/>
  <c r="H76" i="17" s="1"/>
  <c r="I76" i="17" s="1"/>
  <c r="J76" i="17" s="1"/>
  <c r="K76" i="17" s="1"/>
  <c r="L76" i="17" s="1"/>
  <c r="M76" i="17" s="1"/>
  <c r="N76" i="17" s="1"/>
  <c r="C77" i="17"/>
  <c r="O61" i="17"/>
  <c r="F53" i="17"/>
  <c r="Q92" i="17"/>
  <c r="F41" i="17" l="1"/>
  <c r="H62" i="17"/>
  <c r="I100" i="17"/>
  <c r="H4" i="17"/>
  <c r="O74" i="17"/>
  <c r="G83" i="17"/>
  <c r="G86" i="17"/>
  <c r="G53" i="17"/>
  <c r="F70" i="17"/>
  <c r="O92" i="17"/>
  <c r="E71" i="17"/>
  <c r="G40" i="17"/>
  <c r="D77" i="17"/>
  <c r="E47" i="17"/>
  <c r="I55" i="17"/>
  <c r="I56" i="17" s="1"/>
  <c r="O76" i="17"/>
  <c r="H52" i="17"/>
  <c r="J100" i="17" l="1"/>
  <c r="I62" i="17"/>
  <c r="H86" i="17"/>
  <c r="E77" i="17"/>
  <c r="J55" i="17"/>
  <c r="J56" i="17" s="1"/>
  <c r="H40" i="17"/>
  <c r="G70" i="17"/>
  <c r="H83" i="17"/>
  <c r="I52" i="17"/>
  <c r="F47" i="17"/>
  <c r="H53" i="17"/>
  <c r="F71" i="17"/>
  <c r="G41" i="17"/>
  <c r="K100" i="17" l="1"/>
  <c r="J62" i="17"/>
  <c r="I83" i="17"/>
  <c r="H41" i="17"/>
  <c r="G71" i="17"/>
  <c r="I86" i="17"/>
  <c r="I53" i="17"/>
  <c r="F77" i="17"/>
  <c r="G47" i="17"/>
  <c r="H70" i="17"/>
  <c r="J52" i="17"/>
  <c r="K55" i="17"/>
  <c r="K56" i="17" s="1"/>
  <c r="I40" i="17"/>
  <c r="L100" i="17" l="1"/>
  <c r="K62" i="17"/>
  <c r="J86" i="17"/>
  <c r="H47" i="17"/>
  <c r="I70" i="17"/>
  <c r="G77" i="17"/>
  <c r="J40" i="17"/>
  <c r="K52" i="17"/>
  <c r="J53" i="17"/>
  <c r="H71" i="17"/>
  <c r="I41" i="17"/>
  <c r="L55" i="17"/>
  <c r="L56" i="17" s="1"/>
  <c r="J83" i="17"/>
  <c r="L62" i="17" l="1"/>
  <c r="M100" i="17"/>
  <c r="J41" i="17"/>
  <c r="K83" i="17"/>
  <c r="L52" i="17"/>
  <c r="M55" i="17"/>
  <c r="M56" i="17" s="1"/>
  <c r="J70" i="17"/>
  <c r="K40" i="17"/>
  <c r="H77" i="17"/>
  <c r="K86" i="17"/>
  <c r="I71" i="17"/>
  <c r="K53" i="17"/>
  <c r="I47" i="17"/>
  <c r="N100" i="17" l="1"/>
  <c r="M62" i="17"/>
  <c r="K41" i="17"/>
  <c r="L86" i="17"/>
  <c r="J71" i="17"/>
  <c r="L53" i="17"/>
  <c r="N55" i="17"/>
  <c r="N56" i="17" s="1"/>
  <c r="J47" i="17"/>
  <c r="I77" i="17"/>
  <c r="L40" i="17"/>
  <c r="L83" i="17"/>
  <c r="K70" i="17"/>
  <c r="L41" i="17" l="1"/>
  <c r="N62" i="17"/>
  <c r="H10" i="17" s="1"/>
  <c r="I10" i="17" s="1"/>
  <c r="Q100" i="17"/>
  <c r="O100" i="17"/>
  <c r="L70" i="17"/>
  <c r="J77" i="17"/>
  <c r="K47" i="17"/>
  <c r="M40" i="17"/>
  <c r="O55" i="17"/>
  <c r="K71" i="17"/>
  <c r="M86" i="17"/>
  <c r="H8" i="17"/>
  <c r="J26" i="13" l="1"/>
  <c r="N86" i="17"/>
  <c r="Q86" i="17" s="1"/>
  <c r="K77" i="17"/>
  <c r="N40" i="17"/>
  <c r="O85" i="17"/>
  <c r="O56" i="17"/>
  <c r="M70" i="17"/>
  <c r="L71" i="17"/>
  <c r="L47" i="17"/>
  <c r="M41" i="17"/>
  <c r="C8" i="17" l="1"/>
  <c r="N41" i="17"/>
  <c r="H3" i="17" s="1"/>
  <c r="M71" i="17"/>
  <c r="N70" i="17"/>
  <c r="O40" i="17"/>
  <c r="O86" i="17"/>
  <c r="M47" i="17"/>
  <c r="L77" i="17"/>
  <c r="O41" i="17" l="1"/>
  <c r="J21" i="13"/>
  <c r="J30" i="13" s="1"/>
  <c r="H5" i="17"/>
  <c r="O70" i="17"/>
  <c r="N47" i="17"/>
  <c r="N71" i="17"/>
  <c r="Q71" i="17" s="1"/>
  <c r="M77" i="17"/>
  <c r="C3" i="17" l="1"/>
  <c r="C5" i="17" s="1"/>
  <c r="N77" i="17"/>
  <c r="Q77" i="17"/>
  <c r="O47" i="17"/>
  <c r="O71" i="17"/>
  <c r="O77" i="17" l="1"/>
  <c r="C78" i="15" l="1"/>
  <c r="C77" i="15"/>
  <c r="D77" i="15" s="1"/>
  <c r="O76" i="15"/>
  <c r="E77" i="15" l="1"/>
  <c r="F77" i="15" s="1"/>
  <c r="G77" i="15" s="1"/>
  <c r="H77" i="15" s="1"/>
  <c r="I77" i="15" s="1"/>
  <c r="J77" i="15" s="1"/>
  <c r="K77" i="15" s="1"/>
  <c r="L77" i="15" s="1"/>
  <c r="M77" i="15" s="1"/>
  <c r="N77" i="15" s="1"/>
  <c r="D78" i="15"/>
  <c r="E78" i="15" s="1"/>
  <c r="F78" i="15" s="1"/>
  <c r="G78" i="15" s="1"/>
  <c r="H78" i="15" s="1"/>
  <c r="I78" i="15" s="1"/>
  <c r="J78" i="15" s="1"/>
  <c r="K78" i="15" s="1"/>
  <c r="L78" i="15" s="1"/>
  <c r="M78" i="15" s="1"/>
  <c r="N78" i="15" s="1"/>
  <c r="Q78" i="15" s="1"/>
  <c r="O79" i="15"/>
  <c r="Q81" i="15" l="1"/>
  <c r="O77" i="15"/>
  <c r="O78" i="15" s="1"/>
  <c r="O80" i="15" l="1"/>
  <c r="O81" i="15" s="1"/>
  <c r="F22" i="5" l="1"/>
  <c r="J109" i="8"/>
  <c r="J117" i="8" s="1"/>
  <c r="K109" i="8"/>
  <c r="K117" i="8" s="1"/>
  <c r="L109" i="8"/>
  <c r="L117" i="8" s="1"/>
  <c r="M109" i="8"/>
  <c r="M108" i="8" s="1"/>
  <c r="L70" i="15" s="1"/>
  <c r="N109" i="8"/>
  <c r="N117" i="8" s="1"/>
  <c r="O109" i="8"/>
  <c r="D109" i="8"/>
  <c r="D110" i="8" s="1"/>
  <c r="E109" i="8"/>
  <c r="E117" i="8" s="1"/>
  <c r="F109" i="8"/>
  <c r="F117" i="8" s="1"/>
  <c r="G109" i="8"/>
  <c r="H109" i="8"/>
  <c r="H117" i="8" s="1"/>
  <c r="I109" i="8"/>
  <c r="H24" i="15"/>
  <c r="G24" i="15"/>
  <c r="F24" i="15"/>
  <c r="E24" i="15"/>
  <c r="D24" i="15"/>
  <c r="H21" i="15"/>
  <c r="G21" i="15"/>
  <c r="F21" i="15"/>
  <c r="E21" i="15"/>
  <c r="D21" i="15"/>
  <c r="C24" i="15"/>
  <c r="C22" i="13" s="1"/>
  <c r="C21" i="15"/>
  <c r="C21" i="13" s="1"/>
  <c r="C40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C15" i="15"/>
  <c r="D15" i="15" s="1"/>
  <c r="E15" i="15" s="1"/>
  <c r="F15" i="15" s="1"/>
  <c r="G15" i="15" s="1"/>
  <c r="H15" i="15" s="1"/>
  <c r="I15" i="15" s="1"/>
  <c r="J15" i="15" s="1"/>
  <c r="K15" i="15" s="1"/>
  <c r="L15" i="15" s="1"/>
  <c r="M15" i="15" s="1"/>
  <c r="N15" i="15" s="1"/>
  <c r="O14" i="15"/>
  <c r="I12" i="13" s="1"/>
  <c r="C13" i="15"/>
  <c r="D13" i="15" s="1"/>
  <c r="E13" i="15" s="1"/>
  <c r="F13" i="15" s="1"/>
  <c r="G13" i="15" s="1"/>
  <c r="H13" i="15" s="1"/>
  <c r="I13" i="15" s="1"/>
  <c r="J13" i="15" s="1"/>
  <c r="K13" i="15" s="1"/>
  <c r="L13" i="15" s="1"/>
  <c r="M13" i="15" s="1"/>
  <c r="N13" i="15" s="1"/>
  <c r="O12" i="15"/>
  <c r="I11" i="13" s="1"/>
  <c r="C11" i="15"/>
  <c r="D11" i="15" s="1"/>
  <c r="E11" i="15" s="1"/>
  <c r="F11" i="15" s="1"/>
  <c r="G11" i="15" s="1"/>
  <c r="H11" i="15" s="1"/>
  <c r="I11" i="15" s="1"/>
  <c r="J11" i="15" s="1"/>
  <c r="K11" i="15" s="1"/>
  <c r="L11" i="15" s="1"/>
  <c r="M11" i="15" s="1"/>
  <c r="N11" i="15" s="1"/>
  <c r="O10" i="15"/>
  <c r="I10" i="13" s="1"/>
  <c r="C9" i="15"/>
  <c r="D9" i="15" s="1"/>
  <c r="E9" i="15" s="1"/>
  <c r="F9" i="15" s="1"/>
  <c r="G9" i="15" s="1"/>
  <c r="H9" i="15" s="1"/>
  <c r="I9" i="15" s="1"/>
  <c r="J9" i="15" s="1"/>
  <c r="K9" i="15" s="1"/>
  <c r="L9" i="15" s="1"/>
  <c r="M9" i="15" s="1"/>
  <c r="N9" i="15" s="1"/>
  <c r="O8" i="15"/>
  <c r="I9" i="13" s="1"/>
  <c r="C17" i="15" l="1"/>
  <c r="C13" i="13"/>
  <c r="F13" i="13"/>
  <c r="I17" i="5"/>
  <c r="J17" i="5"/>
  <c r="G108" i="8"/>
  <c r="F70" i="15" s="1"/>
  <c r="O108" i="8"/>
  <c r="N70" i="15" s="1"/>
  <c r="N108" i="8"/>
  <c r="M70" i="15" s="1"/>
  <c r="J108" i="8"/>
  <c r="I70" i="15" s="1"/>
  <c r="I117" i="8"/>
  <c r="I116" i="8" s="1"/>
  <c r="H33" i="15" s="1"/>
  <c r="G21" i="5" s="1"/>
  <c r="F108" i="8"/>
  <c r="E70" i="15" s="1"/>
  <c r="K116" i="8"/>
  <c r="J33" i="15" s="1"/>
  <c r="I21" i="5" s="1"/>
  <c r="L116" i="8"/>
  <c r="K33" i="15" s="1"/>
  <c r="J21" i="5" s="1"/>
  <c r="H108" i="8"/>
  <c r="G70" i="15" s="1"/>
  <c r="I108" i="8"/>
  <c r="H70" i="15" s="1"/>
  <c r="O117" i="8"/>
  <c r="O116" i="8" s="1"/>
  <c r="N33" i="15" s="1"/>
  <c r="M21" i="5" s="1"/>
  <c r="G117" i="8"/>
  <c r="H116" i="8" s="1"/>
  <c r="G33" i="15" s="1"/>
  <c r="F21" i="5" s="1"/>
  <c r="F116" i="8"/>
  <c r="E33" i="15" s="1"/>
  <c r="D21" i="5" s="1"/>
  <c r="K108" i="8"/>
  <c r="J70" i="15" s="1"/>
  <c r="M117" i="8"/>
  <c r="M116" i="8" s="1"/>
  <c r="L33" i="15" s="1"/>
  <c r="K21" i="5" s="1"/>
  <c r="P109" i="8"/>
  <c r="P110" i="8" s="1"/>
  <c r="D108" i="8"/>
  <c r="L108" i="8"/>
  <c r="K70" i="15" s="1"/>
  <c r="D117" i="8"/>
  <c r="E108" i="8"/>
  <c r="D70" i="15" s="1"/>
  <c r="M61" i="15"/>
  <c r="E22" i="13"/>
  <c r="L18" i="5"/>
  <c r="F61" i="15"/>
  <c r="E18" i="5"/>
  <c r="E61" i="15"/>
  <c r="D18" i="5"/>
  <c r="G61" i="15"/>
  <c r="F18" i="5"/>
  <c r="N61" i="15"/>
  <c r="F22" i="13"/>
  <c r="H22" i="13" s="1"/>
  <c r="M18" i="5"/>
  <c r="C61" i="15"/>
  <c r="C62" i="15" s="1"/>
  <c r="B18" i="5"/>
  <c r="H61" i="15"/>
  <c r="G18" i="5"/>
  <c r="I61" i="15"/>
  <c r="H18" i="5"/>
  <c r="J61" i="15"/>
  <c r="I18" i="5"/>
  <c r="K61" i="15"/>
  <c r="J18" i="5"/>
  <c r="D61" i="15"/>
  <c r="C18" i="5"/>
  <c r="L61" i="15"/>
  <c r="K18" i="5"/>
  <c r="I58" i="15"/>
  <c r="I64" i="15" s="1"/>
  <c r="H17" i="5"/>
  <c r="G58" i="15"/>
  <c r="F17" i="5"/>
  <c r="H58" i="15"/>
  <c r="G17" i="5"/>
  <c r="C58" i="15"/>
  <c r="B17" i="5"/>
  <c r="D58" i="15"/>
  <c r="C17" i="5"/>
  <c r="L58" i="15"/>
  <c r="K17" i="5"/>
  <c r="E58" i="15"/>
  <c r="D17" i="5"/>
  <c r="M58" i="15"/>
  <c r="M64" i="15" s="1"/>
  <c r="E21" i="13"/>
  <c r="L17" i="5"/>
  <c r="F58" i="15"/>
  <c r="E17" i="5"/>
  <c r="N58" i="15"/>
  <c r="F21" i="13"/>
  <c r="H21" i="13" s="1"/>
  <c r="M17" i="5"/>
  <c r="M27" i="15"/>
  <c r="K27" i="15"/>
  <c r="K58" i="15"/>
  <c r="E27" i="15"/>
  <c r="J27" i="15"/>
  <c r="J58" i="15"/>
  <c r="N27" i="15"/>
  <c r="F27" i="15"/>
  <c r="D27" i="15"/>
  <c r="L27" i="15"/>
  <c r="C25" i="15"/>
  <c r="C26" i="15" s="1"/>
  <c r="I27" i="15"/>
  <c r="H22" i="5"/>
  <c r="M22" i="5"/>
  <c r="E22" i="5"/>
  <c r="J22" i="5"/>
  <c r="K22" i="5"/>
  <c r="C22" i="5"/>
  <c r="D22" i="5"/>
  <c r="G22" i="5"/>
  <c r="L22" i="5"/>
  <c r="E110" i="8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O42" i="15"/>
  <c r="G27" i="15"/>
  <c r="H27" i="15"/>
  <c r="C27" i="15"/>
  <c r="C23" i="13" s="1"/>
  <c r="D40" i="15"/>
  <c r="E40" i="15" s="1"/>
  <c r="F40" i="15" s="1"/>
  <c r="G40" i="15" s="1"/>
  <c r="H40" i="15" s="1"/>
  <c r="I40" i="15" s="1"/>
  <c r="J40" i="15" s="1"/>
  <c r="K40" i="15" s="1"/>
  <c r="L40" i="15" s="1"/>
  <c r="M40" i="15" s="1"/>
  <c r="N40" i="15" s="1"/>
  <c r="C41" i="15"/>
  <c r="O39" i="15"/>
  <c r="O24" i="15"/>
  <c r="D17" i="15"/>
  <c r="E17" i="15" s="1"/>
  <c r="F17" i="15" s="1"/>
  <c r="G17" i="15" s="1"/>
  <c r="H17" i="15" s="1"/>
  <c r="I17" i="15" s="1"/>
  <c r="J17" i="15" s="1"/>
  <c r="K17" i="15" s="1"/>
  <c r="L17" i="15" s="1"/>
  <c r="M17" i="15" s="1"/>
  <c r="N17" i="15" s="1"/>
  <c r="O16" i="15"/>
  <c r="I13" i="13" s="1"/>
  <c r="H64" i="15" l="1"/>
  <c r="J64" i="15"/>
  <c r="L64" i="15"/>
  <c r="K64" i="15"/>
  <c r="N64" i="15"/>
  <c r="F23" i="13"/>
  <c r="H23" i="13" s="1"/>
  <c r="C59" i="15"/>
  <c r="D59" i="15" s="1"/>
  <c r="G64" i="15"/>
  <c r="E64" i="15"/>
  <c r="C64" i="15"/>
  <c r="C65" i="15" s="1"/>
  <c r="P108" i="8"/>
  <c r="P117" i="8"/>
  <c r="P118" i="8" s="1"/>
  <c r="G116" i="8"/>
  <c r="F33" i="15" s="1"/>
  <c r="E21" i="5" s="1"/>
  <c r="J116" i="8"/>
  <c r="I33" i="15" s="1"/>
  <c r="H21" i="5" s="1"/>
  <c r="C74" i="15"/>
  <c r="O73" i="15"/>
  <c r="O36" i="15"/>
  <c r="B22" i="5"/>
  <c r="F26" i="13"/>
  <c r="H26" i="13" s="1"/>
  <c r="C37" i="15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D116" i="8"/>
  <c r="C70" i="15"/>
  <c r="C71" i="15" s="1"/>
  <c r="D112" i="8"/>
  <c r="E116" i="8"/>
  <c r="D33" i="15" s="1"/>
  <c r="C21" i="5" s="1"/>
  <c r="N116" i="8"/>
  <c r="M33" i="15" s="1"/>
  <c r="L21" i="5" s="1"/>
  <c r="O61" i="15"/>
  <c r="F64" i="15"/>
  <c r="D64" i="15"/>
  <c r="C30" i="13"/>
  <c r="E23" i="13"/>
  <c r="D62" i="15"/>
  <c r="E62" i="15" s="1"/>
  <c r="F62" i="15" s="1"/>
  <c r="G62" i="15" s="1"/>
  <c r="H62" i="15" s="1"/>
  <c r="I62" i="15" s="1"/>
  <c r="J62" i="15" s="1"/>
  <c r="K62" i="15" s="1"/>
  <c r="L62" i="15" s="1"/>
  <c r="M62" i="15" s="1"/>
  <c r="N62" i="15" s="1"/>
  <c r="C63" i="15"/>
  <c r="O58" i="15"/>
  <c r="D25" i="15"/>
  <c r="E25" i="15" s="1"/>
  <c r="F25" i="15" s="1"/>
  <c r="G25" i="15" s="1"/>
  <c r="H25" i="15" s="1"/>
  <c r="I25" i="15" s="1"/>
  <c r="J25" i="15" s="1"/>
  <c r="K25" i="15" s="1"/>
  <c r="L25" i="15" s="1"/>
  <c r="M25" i="15" s="1"/>
  <c r="N25" i="15" s="1"/>
  <c r="I22" i="5"/>
  <c r="C28" i="15"/>
  <c r="C29" i="15" s="1"/>
  <c r="O43" i="15"/>
  <c r="D41" i="15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27" i="15"/>
  <c r="O40" i="15"/>
  <c r="I27" i="13" s="1"/>
  <c r="O70" i="15" l="1"/>
  <c r="C60" i="15"/>
  <c r="D60" i="15"/>
  <c r="D63" i="15"/>
  <c r="E63" i="15" s="1"/>
  <c r="F63" i="15" s="1"/>
  <c r="G63" i="15" s="1"/>
  <c r="H63" i="15" s="1"/>
  <c r="I63" i="15" s="1"/>
  <c r="J63" i="15" s="1"/>
  <c r="K63" i="15" s="1"/>
  <c r="L63" i="15" s="1"/>
  <c r="M63" i="15" s="1"/>
  <c r="N63" i="15" s="1"/>
  <c r="Q63" i="15" s="1"/>
  <c r="B4" i="17" s="1"/>
  <c r="D4" i="17" s="1"/>
  <c r="E59" i="15"/>
  <c r="O64" i="15"/>
  <c r="C33" i="15"/>
  <c r="C25" i="13" s="1"/>
  <c r="P116" i="8"/>
  <c r="C54" i="15"/>
  <c r="C38" i="15"/>
  <c r="D37" i="15"/>
  <c r="C75" i="15"/>
  <c r="D74" i="15"/>
  <c r="C91" i="15"/>
  <c r="C72" i="15"/>
  <c r="C90" i="15"/>
  <c r="D71" i="15"/>
  <c r="D113" i="8"/>
  <c r="E112" i="8"/>
  <c r="F25" i="13"/>
  <c r="H25" i="13" s="1"/>
  <c r="E60" i="15"/>
  <c r="O62" i="15"/>
  <c r="D26" i="15"/>
  <c r="E26" i="15" s="1"/>
  <c r="F26" i="15" s="1"/>
  <c r="G26" i="15" s="1"/>
  <c r="H26" i="15" s="1"/>
  <c r="I26" i="15" s="1"/>
  <c r="J26" i="15" s="1"/>
  <c r="K26" i="15" s="1"/>
  <c r="L26" i="15" s="1"/>
  <c r="M26" i="15" s="1"/>
  <c r="N26" i="15" s="1"/>
  <c r="O25" i="15"/>
  <c r="C66" i="15"/>
  <c r="D65" i="15"/>
  <c r="E65" i="15" s="1"/>
  <c r="F65" i="15" s="1"/>
  <c r="G65" i="15" s="1"/>
  <c r="H65" i="15" s="1"/>
  <c r="I65" i="15" s="1"/>
  <c r="J65" i="15" s="1"/>
  <c r="K65" i="15" s="1"/>
  <c r="L65" i="15" s="1"/>
  <c r="M65" i="15" s="1"/>
  <c r="N65" i="15" s="1"/>
  <c r="D28" i="15"/>
  <c r="E28" i="15" s="1"/>
  <c r="F28" i="15" s="1"/>
  <c r="G28" i="15" s="1"/>
  <c r="H28" i="15" s="1"/>
  <c r="I28" i="15" s="1"/>
  <c r="J28" i="15" s="1"/>
  <c r="K28" i="15" s="1"/>
  <c r="L28" i="15" s="1"/>
  <c r="M28" i="15" s="1"/>
  <c r="N28" i="15" s="1"/>
  <c r="O41" i="15"/>
  <c r="O33" i="15" l="1"/>
  <c r="B21" i="5"/>
  <c r="C34" i="15"/>
  <c r="C35" i="15" s="1"/>
  <c r="F59" i="15"/>
  <c r="D91" i="15"/>
  <c r="E74" i="15"/>
  <c r="E37" i="15"/>
  <c r="D54" i="15"/>
  <c r="D38" i="15"/>
  <c r="D75" i="15"/>
  <c r="F112" i="8"/>
  <c r="E113" i="8"/>
  <c r="D90" i="15"/>
  <c r="E71" i="15"/>
  <c r="D72" i="15"/>
  <c r="G4" i="17"/>
  <c r="I4" i="17" s="1"/>
  <c r="I22" i="13"/>
  <c r="O63" i="15"/>
  <c r="O26" i="15"/>
  <c r="O65" i="15"/>
  <c r="D66" i="15"/>
  <c r="D29" i="15"/>
  <c r="O28" i="15"/>
  <c r="I23" i="13" s="1"/>
  <c r="E75" i="15" l="1"/>
  <c r="E38" i="15"/>
  <c r="D34" i="15"/>
  <c r="E34" i="15" s="1"/>
  <c r="C53" i="15"/>
  <c r="G59" i="15"/>
  <c r="E66" i="15"/>
  <c r="F60" i="15"/>
  <c r="G60" i="15" s="1"/>
  <c r="E72" i="15"/>
  <c r="E91" i="15"/>
  <c r="F74" i="15"/>
  <c r="F37" i="15"/>
  <c r="E54" i="15"/>
  <c r="F71" i="15"/>
  <c r="E90" i="15"/>
  <c r="G112" i="8"/>
  <c r="F113" i="8"/>
  <c r="E29" i="15"/>
  <c r="D35" i="15" l="1"/>
  <c r="D53" i="15"/>
  <c r="H59" i="15"/>
  <c r="F66" i="15"/>
  <c r="G37" i="15"/>
  <c r="F54" i="15"/>
  <c r="F38" i="15"/>
  <c r="F91" i="15"/>
  <c r="G74" i="15"/>
  <c r="F75" i="15"/>
  <c r="G75" i="15" s="1"/>
  <c r="E53" i="15"/>
  <c r="F34" i="15"/>
  <c r="H112" i="8"/>
  <c r="G113" i="8"/>
  <c r="G71" i="15"/>
  <c r="F90" i="15"/>
  <c r="E35" i="15"/>
  <c r="F72" i="15"/>
  <c r="F29" i="15"/>
  <c r="G72" i="15" l="1"/>
  <c r="G38" i="15"/>
  <c r="G66" i="15"/>
  <c r="I59" i="15"/>
  <c r="H60" i="15"/>
  <c r="I60" i="15" s="1"/>
  <c r="F35" i="15"/>
  <c r="G91" i="15"/>
  <c r="H74" i="15"/>
  <c r="H75" i="15" s="1"/>
  <c r="G54" i="15"/>
  <c r="H37" i="15"/>
  <c r="G34" i="15"/>
  <c r="F53" i="15"/>
  <c r="H71" i="15"/>
  <c r="H72" i="15" s="1"/>
  <c r="G90" i="15"/>
  <c r="I112" i="8"/>
  <c r="H113" i="8"/>
  <c r="G29" i="15"/>
  <c r="J59" i="15" l="1"/>
  <c r="J60" i="15" s="1"/>
  <c r="H66" i="15"/>
  <c r="I37" i="15"/>
  <c r="H54" i="15"/>
  <c r="I74" i="15"/>
  <c r="H91" i="15"/>
  <c r="H38" i="15"/>
  <c r="J112" i="8"/>
  <c r="I113" i="8"/>
  <c r="H90" i="15"/>
  <c r="I71" i="15"/>
  <c r="H34" i="15"/>
  <c r="G53" i="15"/>
  <c r="G35" i="15"/>
  <c r="H29" i="15"/>
  <c r="I66" i="15" l="1"/>
  <c r="K59" i="15"/>
  <c r="K60" i="15" s="1"/>
  <c r="H35" i="15"/>
  <c r="J74" i="15"/>
  <c r="I91" i="15"/>
  <c r="I38" i="15"/>
  <c r="I54" i="15"/>
  <c r="J37" i="15"/>
  <c r="I75" i="15"/>
  <c r="I34" i="15"/>
  <c r="H53" i="15"/>
  <c r="I90" i="15"/>
  <c r="J71" i="15"/>
  <c r="J113" i="8"/>
  <c r="K112" i="8"/>
  <c r="I72" i="15"/>
  <c r="I29" i="15"/>
  <c r="J75" i="15" l="1"/>
  <c r="I35" i="15"/>
  <c r="L59" i="15"/>
  <c r="J66" i="15"/>
  <c r="J54" i="15"/>
  <c r="K37" i="15"/>
  <c r="J38" i="15"/>
  <c r="J91" i="15"/>
  <c r="K74" i="15"/>
  <c r="K113" i="8"/>
  <c r="L112" i="8"/>
  <c r="J90" i="15"/>
  <c r="K71" i="15"/>
  <c r="J72" i="15"/>
  <c r="J34" i="15"/>
  <c r="I53" i="15"/>
  <c r="J29" i="15"/>
  <c r="K66" i="15" l="1"/>
  <c r="M59" i="15"/>
  <c r="L60" i="15"/>
  <c r="M60" i="15" s="1"/>
  <c r="K38" i="15"/>
  <c r="K72" i="15"/>
  <c r="K91" i="15"/>
  <c r="L74" i="15"/>
  <c r="L37" i="15"/>
  <c r="K54" i="15"/>
  <c r="K75" i="15"/>
  <c r="J35" i="15"/>
  <c r="K34" i="15"/>
  <c r="J53" i="15"/>
  <c r="K90" i="15"/>
  <c r="L71" i="15"/>
  <c r="L113" i="8"/>
  <c r="M112" i="8"/>
  <c r="K29" i="15"/>
  <c r="L75" i="15" l="1"/>
  <c r="L72" i="15"/>
  <c r="N59" i="15"/>
  <c r="N60" i="15" s="1"/>
  <c r="Q60" i="15" s="1"/>
  <c r="L66" i="15"/>
  <c r="L54" i="15"/>
  <c r="M37" i="15"/>
  <c r="L91" i="15"/>
  <c r="M74" i="15"/>
  <c r="L38" i="15"/>
  <c r="K53" i="15"/>
  <c r="L34" i="15"/>
  <c r="L90" i="15"/>
  <c r="M71" i="15"/>
  <c r="N112" i="8"/>
  <c r="M113" i="8"/>
  <c r="K35" i="15"/>
  <c r="L29" i="15"/>
  <c r="M38" i="15" l="1"/>
  <c r="M66" i="15"/>
  <c r="Q66" i="15"/>
  <c r="B3" i="17"/>
  <c r="O59" i="15"/>
  <c r="O60" i="15" s="1"/>
  <c r="L35" i="15"/>
  <c r="M75" i="15"/>
  <c r="M91" i="15"/>
  <c r="N74" i="15"/>
  <c r="M54" i="15"/>
  <c r="N37" i="15"/>
  <c r="O112" i="8"/>
  <c r="O113" i="8" s="1"/>
  <c r="N113" i="8"/>
  <c r="N71" i="15"/>
  <c r="M90" i="15"/>
  <c r="L53" i="15"/>
  <c r="M34" i="15"/>
  <c r="M72" i="15"/>
  <c r="M29" i="15"/>
  <c r="B5" i="17" l="1"/>
  <c r="D5" i="17" s="1"/>
  <c r="D3" i="17"/>
  <c r="N66" i="15"/>
  <c r="M35" i="15"/>
  <c r="N54" i="15"/>
  <c r="O37" i="15"/>
  <c r="N91" i="15"/>
  <c r="O74" i="15"/>
  <c r="N75" i="15"/>
  <c r="Q75" i="15" s="1"/>
  <c r="B8" i="17" s="1"/>
  <c r="D8" i="17" s="1"/>
  <c r="N38" i="15"/>
  <c r="N72" i="15"/>
  <c r="Q72" i="15" s="1"/>
  <c r="B7" i="17" s="1"/>
  <c r="N90" i="15"/>
  <c r="O71" i="15"/>
  <c r="M53" i="15"/>
  <c r="N34" i="15"/>
  <c r="N53" i="15" s="1"/>
  <c r="N29" i="15"/>
  <c r="O38" i="15" l="1"/>
  <c r="O66" i="15"/>
  <c r="O34" i="15"/>
  <c r="O53" i="15" s="1"/>
  <c r="O91" i="15"/>
  <c r="O75" i="15"/>
  <c r="Q88" i="15"/>
  <c r="I26" i="13"/>
  <c r="G8" i="17"/>
  <c r="I8" i="17" s="1"/>
  <c r="Q51" i="15"/>
  <c r="O54" i="15"/>
  <c r="Q87" i="15"/>
  <c r="O72" i="15"/>
  <c r="O90" i="15"/>
  <c r="I25" i="13"/>
  <c r="N35" i="15"/>
  <c r="O35" i="15" s="1"/>
  <c r="N7" i="15"/>
  <c r="H7" i="15"/>
  <c r="F7" i="15"/>
  <c r="C4" i="15"/>
  <c r="D4" i="15" s="1"/>
  <c r="O3" i="15"/>
  <c r="I6" i="13" s="1"/>
  <c r="K7" i="15"/>
  <c r="J7" i="15"/>
  <c r="I7" i="15"/>
  <c r="Q50" i="15" l="1"/>
  <c r="G7" i="17"/>
  <c r="F8" i="13"/>
  <c r="F14" i="13" s="1"/>
  <c r="L7" i="15"/>
  <c r="D7" i="15"/>
  <c r="E7" i="15"/>
  <c r="M7" i="15"/>
  <c r="G7" i="15"/>
  <c r="C7" i="15"/>
  <c r="C22" i="15"/>
  <c r="C8" i="13" l="1"/>
  <c r="C14" i="13" s="1"/>
  <c r="F15" i="13"/>
  <c r="O21" i="15"/>
  <c r="O7" i="15"/>
  <c r="I8" i="13" s="1"/>
  <c r="E4" i="15"/>
  <c r="C6" i="15"/>
  <c r="O5" i="15"/>
  <c r="I7" i="13" s="1"/>
  <c r="D22" i="15"/>
  <c r="C23" i="15"/>
  <c r="C15" i="13" l="1"/>
  <c r="I14" i="13"/>
  <c r="I15" i="13"/>
  <c r="E22" i="15"/>
  <c r="D23" i="15"/>
  <c r="E23" i="15" s="1"/>
  <c r="F4" i="15"/>
  <c r="D6" i="15"/>
  <c r="F22" i="15" l="1"/>
  <c r="E6" i="15"/>
  <c r="G4" i="15"/>
  <c r="G22" i="15" l="1"/>
  <c r="F23" i="15"/>
  <c r="H4" i="15"/>
  <c r="F6" i="15"/>
  <c r="G23" i="15" l="1"/>
  <c r="H22" i="15"/>
  <c r="G6" i="15"/>
  <c r="I4" i="15"/>
  <c r="I22" i="15" l="1"/>
  <c r="H23" i="15"/>
  <c r="J4" i="15"/>
  <c r="H6" i="15"/>
  <c r="I23" i="15" l="1"/>
  <c r="J22" i="15"/>
  <c r="I6" i="15"/>
  <c r="K4" i="15"/>
  <c r="K22" i="15" l="1"/>
  <c r="J23" i="15"/>
  <c r="L4" i="15"/>
  <c r="J6" i="15"/>
  <c r="K23" i="15" l="1"/>
  <c r="L22" i="15"/>
  <c r="K6" i="15"/>
  <c r="M4" i="15"/>
  <c r="M22" i="15" l="1"/>
  <c r="L23" i="15"/>
  <c r="N4" i="15"/>
  <c r="L6" i="15"/>
  <c r="M23" i="15" l="1"/>
  <c r="N22" i="15"/>
  <c r="M6" i="15"/>
  <c r="O22" i="15" l="1"/>
  <c r="I21" i="13" s="1"/>
  <c r="I30" i="13" s="1"/>
  <c r="N23" i="15"/>
  <c r="O29" i="15" s="1"/>
  <c r="N6" i="15"/>
  <c r="O23" i="15" l="1"/>
  <c r="G5" i="17" l="1"/>
  <c r="I3" i="17"/>
  <c r="S5" i="5"/>
  <c r="S6" i="5"/>
  <c r="S8" i="5"/>
  <c r="S9" i="5"/>
  <c r="S10" i="5"/>
  <c r="S11" i="5"/>
  <c r="I5" i="17" l="1"/>
  <c r="H40" i="3" l="1"/>
  <c r="I40" i="3"/>
  <c r="N8" i="13" l="1"/>
  <c r="N14" i="13" s="1"/>
  <c r="K5" i="11" l="1"/>
  <c r="L5" i="11"/>
  <c r="M5" i="11"/>
  <c r="N5" i="11"/>
  <c r="O5" i="11"/>
  <c r="P5" i="11"/>
  <c r="D5" i="11"/>
  <c r="E5" i="11"/>
  <c r="F5" i="11"/>
  <c r="G5" i="11"/>
  <c r="H5" i="11"/>
  <c r="I5" i="11"/>
  <c r="P28" i="4" l="1"/>
  <c r="R28" i="4" s="1"/>
  <c r="K44" i="13" l="1"/>
  <c r="J44" i="13"/>
  <c r="D13" i="13" l="1"/>
  <c r="E13" i="13" l="1"/>
  <c r="H44" i="13"/>
  <c r="D25" i="13" l="1"/>
  <c r="E25" i="13" s="1"/>
  <c r="M81" i="17"/>
  <c r="N82" i="17"/>
  <c r="O51" i="17"/>
  <c r="M52" i="17"/>
  <c r="G44" i="13"/>
  <c r="M53" i="17" l="1"/>
  <c r="N52" i="17"/>
  <c r="M82" i="17"/>
  <c r="O81" i="17"/>
  <c r="J12" i="13"/>
  <c r="J11" i="13"/>
  <c r="J10" i="13"/>
  <c r="J9" i="13"/>
  <c r="J7" i="13"/>
  <c r="G12" i="13"/>
  <c r="G11" i="13"/>
  <c r="G10" i="13"/>
  <c r="G9" i="13"/>
  <c r="D12" i="13"/>
  <c r="E12" i="13" s="1"/>
  <c r="D11" i="13"/>
  <c r="E11" i="13" s="1"/>
  <c r="D10" i="13"/>
  <c r="E10" i="13" s="1"/>
  <c r="D9" i="13"/>
  <c r="E9" i="13" s="1"/>
  <c r="J6" i="13"/>
  <c r="N53" i="17" l="1"/>
  <c r="H7" i="17" s="1"/>
  <c r="I7" i="17" s="1"/>
  <c r="O52" i="17"/>
  <c r="M83" i="17"/>
  <c r="N83" i="17" s="1"/>
  <c r="O82" i="17"/>
  <c r="R10" i="13"/>
  <c r="H10" i="13"/>
  <c r="R11" i="13"/>
  <c r="H11" i="13"/>
  <c r="R12" i="13"/>
  <c r="H12" i="13"/>
  <c r="R9" i="13"/>
  <c r="H9" i="13"/>
  <c r="O8" i="13"/>
  <c r="Q83" i="17" l="1"/>
  <c r="C7" i="17"/>
  <c r="D7" i="17" s="1"/>
  <c r="O53" i="17"/>
  <c r="J25" i="13"/>
  <c r="O83" i="17"/>
  <c r="O13" i="13"/>
  <c r="O15" i="13" s="1"/>
  <c r="O14" i="13"/>
  <c r="G6" i="13"/>
  <c r="G7" i="13"/>
  <c r="R7" i="13" s="1"/>
  <c r="H7" i="13" l="1"/>
  <c r="R6" i="13"/>
  <c r="H6" i="13"/>
  <c r="E6" i="13"/>
  <c r="E7" i="13"/>
  <c r="U8" i="13" l="1"/>
  <c r="N13" i="13"/>
  <c r="N15" i="13" s="1"/>
  <c r="J13" i="13" l="1"/>
  <c r="G13" i="13"/>
  <c r="R13" i="13" s="1"/>
  <c r="G8" i="13"/>
  <c r="J8" i="13"/>
  <c r="J14" i="13" s="1"/>
  <c r="X6" i="13"/>
  <c r="W6" i="13"/>
  <c r="K6" i="13"/>
  <c r="K7" i="13"/>
  <c r="K9" i="13"/>
  <c r="K10" i="13"/>
  <c r="K11" i="13"/>
  <c r="K12" i="13"/>
  <c r="K13" i="13"/>
  <c r="R8" i="13" l="1"/>
  <c r="R14" i="13" s="1"/>
  <c r="G14" i="13"/>
  <c r="H8" i="13"/>
  <c r="G15" i="13"/>
  <c r="H13" i="13"/>
  <c r="J15" i="13"/>
  <c r="M4" i="13"/>
  <c r="F35" i="13"/>
  <c r="E37" i="13"/>
  <c r="E38" i="13"/>
  <c r="F19" i="13"/>
  <c r="F4" i="13"/>
  <c r="R15" i="13" l="1"/>
  <c r="D8" i="13"/>
  <c r="K8" i="13"/>
  <c r="X7" i="13"/>
  <c r="W7" i="13"/>
  <c r="K14" i="13" l="1"/>
  <c r="K15" i="13"/>
  <c r="E8" i="13"/>
  <c r="D14" i="13"/>
  <c r="D15" i="13"/>
  <c r="T11" i="13"/>
  <c r="T9" i="13"/>
  <c r="T7" i="13"/>
  <c r="T10" i="13"/>
  <c r="T12" i="13"/>
  <c r="T6" i="13"/>
  <c r="V8" i="13" l="1"/>
  <c r="T8" i="13"/>
  <c r="G30" i="13" l="1"/>
  <c r="T13" i="13"/>
  <c r="P14" i="11" l="1"/>
  <c r="O14" i="11"/>
  <c r="N14" i="11"/>
  <c r="M14" i="11"/>
  <c r="L14" i="11"/>
  <c r="K14" i="11"/>
  <c r="D14" i="11"/>
  <c r="E14" i="11"/>
  <c r="F14" i="11"/>
  <c r="G14" i="11"/>
  <c r="H14" i="11"/>
  <c r="I14" i="11"/>
  <c r="Q10" i="11"/>
  <c r="J10" i="11"/>
  <c r="P9" i="11"/>
  <c r="O9" i="11"/>
  <c r="N9" i="11"/>
  <c r="M9" i="11"/>
  <c r="L9" i="11"/>
  <c r="K9" i="11"/>
  <c r="E9" i="11"/>
  <c r="F9" i="11"/>
  <c r="G9" i="11"/>
  <c r="H9" i="11"/>
  <c r="I9" i="11"/>
  <c r="Q14" i="11" l="1"/>
  <c r="J5" i="11"/>
  <c r="Q9" i="11"/>
  <c r="D9" i="11"/>
  <c r="J9" i="11" s="1"/>
  <c r="Q5" i="11"/>
  <c r="T30" i="15" l="1"/>
  <c r="I30" i="15"/>
  <c r="I67" i="15" s="1"/>
  <c r="J30" i="15"/>
  <c r="J67" i="15" s="1"/>
  <c r="K30" i="15"/>
  <c r="K67" i="15" s="1"/>
  <c r="L30" i="15"/>
  <c r="L67" i="15" s="1"/>
  <c r="M30" i="15"/>
  <c r="M67" i="15" s="1"/>
  <c r="N30" i="15"/>
  <c r="N67" i="15" s="1"/>
  <c r="C30" i="15"/>
  <c r="D30" i="15"/>
  <c r="D45" i="15" s="1"/>
  <c r="E30" i="15"/>
  <c r="E45" i="15" s="1"/>
  <c r="J45" i="15"/>
  <c r="K45" i="15"/>
  <c r="G30" i="15"/>
  <c r="G45" i="15" s="1"/>
  <c r="F30" i="15"/>
  <c r="F45" i="15" s="1"/>
  <c r="H30" i="15"/>
  <c r="R5" i="11"/>
  <c r="I45" i="15" l="1"/>
  <c r="L45" i="15"/>
  <c r="N45" i="15"/>
  <c r="M45" i="15"/>
  <c r="H45" i="15"/>
  <c r="H67" i="15"/>
  <c r="C24" i="13"/>
  <c r="C45" i="15"/>
  <c r="C28" i="13" s="1"/>
  <c r="K82" i="15"/>
  <c r="J20" i="5"/>
  <c r="J82" i="15"/>
  <c r="I20" i="5"/>
  <c r="H20" i="5"/>
  <c r="I82" i="15"/>
  <c r="G20" i="5"/>
  <c r="H82" i="15"/>
  <c r="L20" i="5"/>
  <c r="M82" i="15"/>
  <c r="H48" i="17"/>
  <c r="H63" i="17" s="1"/>
  <c r="K48" i="17"/>
  <c r="C48" i="17"/>
  <c r="N48" i="17"/>
  <c r="N63" i="17" s="1"/>
  <c r="J48" i="17"/>
  <c r="J63" i="17" s="1"/>
  <c r="F48" i="17"/>
  <c r="F63" i="17" s="1"/>
  <c r="I48" i="17"/>
  <c r="I63" i="17" s="1"/>
  <c r="M48" i="17"/>
  <c r="M63" i="17" s="1"/>
  <c r="G48" i="17"/>
  <c r="G63" i="17" s="1"/>
  <c r="E48" i="17"/>
  <c r="E63" i="17" s="1"/>
  <c r="L48" i="17"/>
  <c r="L63" i="17" s="1"/>
  <c r="D48" i="17"/>
  <c r="D63" i="17" s="1"/>
  <c r="F20" i="5"/>
  <c r="G67" i="15"/>
  <c r="G82" i="15" s="1"/>
  <c r="D20" i="5"/>
  <c r="E67" i="15"/>
  <c r="E82" i="15" s="1"/>
  <c r="C20" i="5"/>
  <c r="D67" i="15"/>
  <c r="D82" i="15" s="1"/>
  <c r="M20" i="5"/>
  <c r="N82" i="15"/>
  <c r="K20" i="5"/>
  <c r="L82" i="15"/>
  <c r="E20" i="5"/>
  <c r="F67" i="15"/>
  <c r="F82" i="15" s="1"/>
  <c r="B20" i="5"/>
  <c r="C67" i="15"/>
  <c r="C82" i="15" s="1"/>
  <c r="C29" i="13" s="1"/>
  <c r="C31" i="15"/>
  <c r="C46" i="15" s="1"/>
  <c r="O30" i="15"/>
  <c r="F24" i="13"/>
  <c r="Q102" i="8"/>
  <c r="S102" i="8" s="1"/>
  <c r="P103" i="8"/>
  <c r="D103" i="8"/>
  <c r="E103" i="8"/>
  <c r="E129" i="8" s="1"/>
  <c r="F103" i="8"/>
  <c r="F129" i="8" s="1"/>
  <c r="G103" i="8"/>
  <c r="G129" i="8" s="1"/>
  <c r="H103" i="8"/>
  <c r="H129" i="8" s="1"/>
  <c r="I103" i="8"/>
  <c r="I129" i="8" s="1"/>
  <c r="J103" i="8"/>
  <c r="J129" i="8" s="1"/>
  <c r="K103" i="8"/>
  <c r="K129" i="8" s="1"/>
  <c r="L103" i="8"/>
  <c r="L129" i="8" s="1"/>
  <c r="M103" i="8"/>
  <c r="M129" i="8" s="1"/>
  <c r="N103" i="8"/>
  <c r="N129" i="8" s="1"/>
  <c r="O103" i="8"/>
  <c r="O129" i="8" s="1"/>
  <c r="K63" i="17" l="1"/>
  <c r="K78" i="17"/>
  <c r="D129" i="8"/>
  <c r="P129" i="8"/>
  <c r="C32" i="13"/>
  <c r="C63" i="17"/>
  <c r="D28" i="13" s="1"/>
  <c r="E28" i="13" s="1"/>
  <c r="D24" i="13"/>
  <c r="E24" i="13" s="1"/>
  <c r="Q103" i="8"/>
  <c r="C68" i="15"/>
  <c r="C83" i="15" s="1"/>
  <c r="F29" i="13"/>
  <c r="M78" i="17"/>
  <c r="M93" i="17" s="1"/>
  <c r="C32" i="15"/>
  <c r="C47" i="15" s="1"/>
  <c r="D31" i="15"/>
  <c r="D46" i="15" s="1"/>
  <c r="I78" i="17"/>
  <c r="I93" i="17" s="1"/>
  <c r="G78" i="17"/>
  <c r="G93" i="17" s="1"/>
  <c r="F78" i="17"/>
  <c r="F93" i="17" s="1"/>
  <c r="C31" i="13"/>
  <c r="J78" i="17"/>
  <c r="J93" i="17" s="1"/>
  <c r="D78" i="17"/>
  <c r="D93" i="17" s="1"/>
  <c r="N78" i="17"/>
  <c r="N93" i="17" s="1"/>
  <c r="L78" i="17"/>
  <c r="L93" i="17" s="1"/>
  <c r="C78" i="17"/>
  <c r="C93" i="17" s="1"/>
  <c r="C49" i="17"/>
  <c r="C64" i="17" s="1"/>
  <c r="O48" i="17"/>
  <c r="G24" i="13"/>
  <c r="H24" i="13" s="1"/>
  <c r="H78" i="17"/>
  <c r="H93" i="17" s="1"/>
  <c r="F28" i="13"/>
  <c r="O45" i="15"/>
  <c r="E78" i="17"/>
  <c r="E93" i="17" s="1"/>
  <c r="K93" i="17"/>
  <c r="O67" i="15"/>
  <c r="D104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N11" i="7"/>
  <c r="N10" i="7"/>
  <c r="N9" i="7"/>
  <c r="N8" i="7"/>
  <c r="M7" i="7"/>
  <c r="M12" i="7" s="1"/>
  <c r="L7" i="7"/>
  <c r="L12" i="7" s="1"/>
  <c r="K7" i="7"/>
  <c r="K12" i="7" s="1"/>
  <c r="J7" i="7"/>
  <c r="J12" i="7" s="1"/>
  <c r="I7" i="7"/>
  <c r="I12" i="7" s="1"/>
  <c r="H7" i="7"/>
  <c r="H12" i="7" s="1"/>
  <c r="G7" i="7"/>
  <c r="G12" i="7" s="1"/>
  <c r="F7" i="7"/>
  <c r="F12" i="7" s="1"/>
  <c r="E7" i="7"/>
  <c r="E12" i="7" s="1"/>
  <c r="D7" i="7"/>
  <c r="D12" i="7" s="1"/>
  <c r="C7" i="7"/>
  <c r="C12" i="7" s="1"/>
  <c r="B7" i="7"/>
  <c r="N6" i="7"/>
  <c r="N5" i="7"/>
  <c r="N33" i="5"/>
  <c r="N32" i="5"/>
  <c r="N31" i="5"/>
  <c r="N30" i="5"/>
  <c r="N29" i="5"/>
  <c r="M34" i="5"/>
  <c r="L34" i="5"/>
  <c r="K34" i="5"/>
  <c r="J34" i="5"/>
  <c r="I34" i="5"/>
  <c r="H34" i="5"/>
  <c r="G34" i="5"/>
  <c r="F34" i="5"/>
  <c r="E34" i="5"/>
  <c r="D34" i="5"/>
  <c r="C34" i="5"/>
  <c r="B34" i="5"/>
  <c r="N11" i="5"/>
  <c r="N10" i="5"/>
  <c r="N9" i="5"/>
  <c r="N8" i="5"/>
  <c r="M7" i="5"/>
  <c r="M12" i="5" s="1"/>
  <c r="L7" i="5"/>
  <c r="L12" i="5" s="1"/>
  <c r="K7" i="5"/>
  <c r="K12" i="5" s="1"/>
  <c r="J7" i="5"/>
  <c r="J12" i="5" s="1"/>
  <c r="I7" i="5"/>
  <c r="I12" i="5" s="1"/>
  <c r="H7" i="5"/>
  <c r="H12" i="5" s="1"/>
  <c r="G7" i="5"/>
  <c r="G12" i="5" s="1"/>
  <c r="F7" i="5"/>
  <c r="F12" i="5" s="1"/>
  <c r="E7" i="5"/>
  <c r="E12" i="5" s="1"/>
  <c r="D7" i="5"/>
  <c r="D12" i="5" s="1"/>
  <c r="C7" i="5"/>
  <c r="C12" i="5" s="1"/>
  <c r="B7" i="5"/>
  <c r="N6" i="5"/>
  <c r="N5" i="5"/>
  <c r="D29" i="13" l="1"/>
  <c r="D32" i="13" s="1"/>
  <c r="O82" i="15"/>
  <c r="C50" i="17"/>
  <c r="C65" i="17" s="1"/>
  <c r="D49" i="17"/>
  <c r="D64" i="17" s="1"/>
  <c r="D32" i="15"/>
  <c r="D47" i="15" s="1"/>
  <c r="C79" i="17"/>
  <c r="C94" i="17" s="1"/>
  <c r="O78" i="17"/>
  <c r="G28" i="13"/>
  <c r="H28" i="13" s="1"/>
  <c r="O63" i="17"/>
  <c r="E31" i="15"/>
  <c r="E46" i="15" s="1"/>
  <c r="D68" i="15"/>
  <c r="D83" i="15" s="1"/>
  <c r="C69" i="15"/>
  <c r="C84" i="15" s="1"/>
  <c r="B12" i="5"/>
  <c r="S12" i="5" s="1"/>
  <c r="S7" i="5"/>
  <c r="E104" i="8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S104" i="8" s="1"/>
  <c r="D105" i="8"/>
  <c r="N7" i="7"/>
  <c r="B12" i="7"/>
  <c r="N12" i="7" s="1"/>
  <c r="N34" i="5"/>
  <c r="N7" i="5"/>
  <c r="E29" i="13" l="1"/>
  <c r="D79" i="17"/>
  <c r="D94" i="17" s="1"/>
  <c r="C80" i="17"/>
  <c r="C95" i="17" s="1"/>
  <c r="E49" i="17"/>
  <c r="E64" i="17" s="1"/>
  <c r="O93" i="17"/>
  <c r="G29" i="13"/>
  <c r="D69" i="15"/>
  <c r="D84" i="15" s="1"/>
  <c r="E32" i="15"/>
  <c r="E47" i="15" s="1"/>
  <c r="D50" i="17"/>
  <c r="D65" i="17" s="1"/>
  <c r="E68" i="15"/>
  <c r="E83" i="15" s="1"/>
  <c r="F31" i="15"/>
  <c r="F46" i="15" s="1"/>
  <c r="N12" i="5"/>
  <c r="N22" i="5"/>
  <c r="E105" i="8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M19" i="5"/>
  <c r="M24" i="5" s="1"/>
  <c r="H19" i="5"/>
  <c r="H24" i="5" s="1"/>
  <c r="I19" i="5"/>
  <c r="N21" i="5"/>
  <c r="N23" i="5"/>
  <c r="G31" i="15" l="1"/>
  <c r="G46" i="15" s="1"/>
  <c r="F68" i="15"/>
  <c r="F83" i="15" s="1"/>
  <c r="E69" i="15"/>
  <c r="E84" i="15" s="1"/>
  <c r="D80" i="17"/>
  <c r="D95" i="17" s="1"/>
  <c r="F49" i="17"/>
  <c r="F64" i="17" s="1"/>
  <c r="E79" i="17"/>
  <c r="E94" i="17" s="1"/>
  <c r="F32" i="15"/>
  <c r="F47" i="15" s="1"/>
  <c r="E50" i="17"/>
  <c r="E65" i="17" s="1"/>
  <c r="D31" i="13"/>
  <c r="E19" i="5"/>
  <c r="E24" i="5" s="1"/>
  <c r="L19" i="5"/>
  <c r="L24" i="5" s="1"/>
  <c r="D19" i="5"/>
  <c r="D24" i="5" s="1"/>
  <c r="N20" i="5"/>
  <c r="G19" i="5"/>
  <c r="G24" i="5" s="1"/>
  <c r="J19" i="5"/>
  <c r="J24" i="5" s="1"/>
  <c r="I24" i="5"/>
  <c r="F30" i="13"/>
  <c r="F19" i="5"/>
  <c r="F24" i="5" s="1"/>
  <c r="C19" i="5"/>
  <c r="C24" i="5" s="1"/>
  <c r="K19" i="5"/>
  <c r="K24" i="5" s="1"/>
  <c r="N18" i="5"/>
  <c r="B19" i="5"/>
  <c r="N17" i="5"/>
  <c r="F69" i="15" l="1"/>
  <c r="F84" i="15" s="1"/>
  <c r="E80" i="17"/>
  <c r="F79" i="17"/>
  <c r="F94" i="17" s="1"/>
  <c r="F50" i="17"/>
  <c r="G68" i="15"/>
  <c r="G83" i="15" s="1"/>
  <c r="G32" i="15"/>
  <c r="G47" i="15" s="1"/>
  <c r="G49" i="17"/>
  <c r="G64" i="17" s="1"/>
  <c r="H31" i="15"/>
  <c r="H46" i="15" s="1"/>
  <c r="G32" i="13"/>
  <c r="G31" i="13"/>
  <c r="F31" i="13"/>
  <c r="N19" i="5"/>
  <c r="B24" i="5"/>
  <c r="N24" i="5" s="1"/>
  <c r="F65" i="17" l="1"/>
  <c r="E95" i="17"/>
  <c r="G79" i="17"/>
  <c r="G94" i="17" s="1"/>
  <c r="H49" i="17"/>
  <c r="H64" i="17" s="1"/>
  <c r="H32" i="15"/>
  <c r="H47" i="15" s="1"/>
  <c r="F80" i="17"/>
  <c r="F95" i="17" s="1"/>
  <c r="I31" i="15"/>
  <c r="I46" i="15" s="1"/>
  <c r="G50" i="17"/>
  <c r="G65" i="17" s="1"/>
  <c r="H68" i="15"/>
  <c r="H83" i="15" s="1"/>
  <c r="G69" i="15"/>
  <c r="G84" i="15" s="1"/>
  <c r="I32" i="15" l="1"/>
  <c r="I47" i="15" s="1"/>
  <c r="I68" i="15"/>
  <c r="I83" i="15" s="1"/>
  <c r="H50" i="17"/>
  <c r="J31" i="15"/>
  <c r="J46" i="15" s="1"/>
  <c r="I49" i="17"/>
  <c r="I64" i="17" s="1"/>
  <c r="H69" i="15"/>
  <c r="H84" i="15" s="1"/>
  <c r="G80" i="17"/>
  <c r="G95" i="17" s="1"/>
  <c r="H79" i="17"/>
  <c r="H94" i="17" s="1"/>
  <c r="F32" i="13"/>
  <c r="H29" i="13"/>
  <c r="H65" i="17" l="1"/>
  <c r="I50" i="17"/>
  <c r="I65" i="17" s="1"/>
  <c r="I69" i="15"/>
  <c r="I84" i="15" s="1"/>
  <c r="I79" i="17"/>
  <c r="I94" i="17" s="1"/>
  <c r="H80" i="17"/>
  <c r="H95" i="17" s="1"/>
  <c r="K31" i="15"/>
  <c r="K46" i="15" s="1"/>
  <c r="J68" i="15"/>
  <c r="J83" i="15" s="1"/>
  <c r="J49" i="17"/>
  <c r="J64" i="17" s="1"/>
  <c r="J32" i="15"/>
  <c r="J47" i="15" s="1"/>
  <c r="K68" i="15" l="1"/>
  <c r="K83" i="15" s="1"/>
  <c r="K32" i="15"/>
  <c r="K47" i="15" s="1"/>
  <c r="K49" i="17"/>
  <c r="K64" i="17" s="1"/>
  <c r="J79" i="17"/>
  <c r="J94" i="17" s="1"/>
  <c r="J69" i="15"/>
  <c r="J84" i="15" s="1"/>
  <c r="I80" i="17"/>
  <c r="I95" i="17" s="1"/>
  <c r="L31" i="15"/>
  <c r="L46" i="15" s="1"/>
  <c r="J50" i="17"/>
  <c r="J65" i="17" s="1"/>
  <c r="K50" i="17" l="1"/>
  <c r="K65" i="17" s="1"/>
  <c r="K79" i="17"/>
  <c r="K94" i="17" s="1"/>
  <c r="M31" i="15"/>
  <c r="M46" i="15" s="1"/>
  <c r="L49" i="17"/>
  <c r="L64" i="17" s="1"/>
  <c r="J80" i="17"/>
  <c r="J95" i="17" s="1"/>
  <c r="L32" i="15"/>
  <c r="L47" i="15" s="1"/>
  <c r="K69" i="15"/>
  <c r="K84" i="15" s="1"/>
  <c r="L68" i="15"/>
  <c r="L83" i="15" s="1"/>
  <c r="M49" i="17" l="1"/>
  <c r="M64" i="17" s="1"/>
  <c r="L69" i="15"/>
  <c r="L84" i="15" s="1"/>
  <c r="N31" i="15"/>
  <c r="N46" i="15" s="1"/>
  <c r="M32" i="15"/>
  <c r="M47" i="15" s="1"/>
  <c r="L79" i="17"/>
  <c r="L94" i="17" s="1"/>
  <c r="K80" i="17"/>
  <c r="K95" i="17" s="1"/>
  <c r="M68" i="15"/>
  <c r="M83" i="15" s="1"/>
  <c r="L50" i="17"/>
  <c r="L65" i="17" s="1"/>
  <c r="O46" i="15" l="1"/>
  <c r="I28" i="13" s="1"/>
  <c r="O31" i="15"/>
  <c r="N32" i="15"/>
  <c r="N47" i="15" s="1"/>
  <c r="M50" i="17"/>
  <c r="M65" i="17" s="1"/>
  <c r="N68" i="15"/>
  <c r="N83" i="15" s="1"/>
  <c r="L80" i="17"/>
  <c r="L95" i="17" s="1"/>
  <c r="M69" i="15"/>
  <c r="M84" i="15" s="1"/>
  <c r="M79" i="17"/>
  <c r="M94" i="17" s="1"/>
  <c r="N49" i="17"/>
  <c r="N64" i="17" s="1"/>
  <c r="I24" i="13" l="1"/>
  <c r="I31" i="13" s="1"/>
  <c r="G6" i="17"/>
  <c r="O64" i="17"/>
  <c r="O49" i="17"/>
  <c r="J24" i="13" s="1"/>
  <c r="O83" i="15"/>
  <c r="I29" i="13" s="1"/>
  <c r="O68" i="15"/>
  <c r="N79" i="17"/>
  <c r="N94" i="17" s="1"/>
  <c r="N50" i="17"/>
  <c r="N69" i="15"/>
  <c r="N84" i="15" s="1"/>
  <c r="M80" i="17"/>
  <c r="M95" i="17" s="1"/>
  <c r="O47" i="15"/>
  <c r="O32" i="15"/>
  <c r="N65" i="17" l="1"/>
  <c r="O65" i="17" s="1"/>
  <c r="H6" i="17"/>
  <c r="H9" i="17" s="1"/>
  <c r="H11" i="17" s="1"/>
  <c r="J28" i="13"/>
  <c r="J31" i="13" s="1"/>
  <c r="G9" i="17"/>
  <c r="N80" i="17"/>
  <c r="O50" i="17"/>
  <c r="Q69" i="15"/>
  <c r="O84" i="15"/>
  <c r="O69" i="15"/>
  <c r="O94" i="17"/>
  <c r="J29" i="13" s="1"/>
  <c r="O79" i="17"/>
  <c r="I6" i="17" l="1"/>
  <c r="N95" i="17"/>
  <c r="C6" i="17"/>
  <c r="C9" i="17" s="1"/>
  <c r="C11" i="17" s="1"/>
  <c r="J32" i="13"/>
  <c r="Q84" i="15"/>
  <c r="R84" i="15"/>
  <c r="O80" i="17"/>
  <c r="G11" i="17"/>
  <c r="I11" i="17" s="1"/>
  <c r="I9" i="17"/>
  <c r="B6" i="17"/>
  <c r="Q80" i="17"/>
  <c r="O95" i="17"/>
  <c r="Q95" i="17" l="1"/>
  <c r="R95" i="17"/>
  <c r="B9" i="17"/>
  <c r="D6" i="17"/>
  <c r="O11" i="4"/>
  <c r="B11" i="17" l="1"/>
  <c r="D11" i="17" s="1"/>
  <c r="D9" i="17"/>
  <c r="C43" i="3"/>
  <c r="D43" i="3" l="1"/>
  <c r="E43" i="3" s="1"/>
  <c r="F43" i="3" s="1"/>
  <c r="G43" i="3" s="1"/>
  <c r="H43" i="3" s="1"/>
  <c r="I43" i="3" s="1"/>
  <c r="J43" i="3" s="1"/>
  <c r="K43" i="3" s="1"/>
  <c r="L43" i="3" s="1"/>
  <c r="M43" i="3" s="1"/>
  <c r="N43" i="3" s="1"/>
  <c r="C46" i="3"/>
  <c r="D46" i="3" s="1"/>
  <c r="E46" i="3" s="1"/>
  <c r="F46" i="3" s="1"/>
  <c r="G46" i="3" s="1"/>
  <c r="H46" i="3" s="1"/>
  <c r="I46" i="3" s="1"/>
  <c r="J46" i="3" s="1"/>
  <c r="K46" i="3" s="1"/>
  <c r="L46" i="3" s="1"/>
  <c r="M46" i="3" s="1"/>
  <c r="N46" i="3" s="1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43" i="4" l="1"/>
  <c r="P36" i="4"/>
  <c r="P29" i="4"/>
  <c r="P42" i="4"/>
  <c r="R42" i="4" s="1"/>
  <c r="O40" i="4"/>
  <c r="O44" i="4" s="1"/>
  <c r="N40" i="4"/>
  <c r="N44" i="4" s="1"/>
  <c r="M40" i="4"/>
  <c r="M44" i="4" s="1"/>
  <c r="L40" i="4"/>
  <c r="L44" i="4" s="1"/>
  <c r="K40" i="4"/>
  <c r="K44" i="4" s="1"/>
  <c r="J40" i="4"/>
  <c r="J44" i="4" s="1"/>
  <c r="I40" i="4"/>
  <c r="I44" i="4" s="1"/>
  <c r="H40" i="4"/>
  <c r="H44" i="4" s="1"/>
  <c r="G40" i="4"/>
  <c r="G44" i="4" s="1"/>
  <c r="F40" i="4"/>
  <c r="F44" i="4" s="1"/>
  <c r="E40" i="4"/>
  <c r="E44" i="4" s="1"/>
  <c r="D40" i="4"/>
  <c r="D44" i="4" s="1"/>
  <c r="C40" i="4"/>
  <c r="C41" i="4" s="1"/>
  <c r="P39" i="4"/>
  <c r="R39" i="4" s="1"/>
  <c r="P35" i="4"/>
  <c r="R35" i="4" s="1"/>
  <c r="O33" i="4"/>
  <c r="O37" i="4" s="1"/>
  <c r="N33" i="4"/>
  <c r="N37" i="4" s="1"/>
  <c r="M33" i="4"/>
  <c r="M37" i="4" s="1"/>
  <c r="L33" i="4"/>
  <c r="L37" i="4" s="1"/>
  <c r="K33" i="4"/>
  <c r="K37" i="4" s="1"/>
  <c r="J33" i="4"/>
  <c r="J37" i="4" s="1"/>
  <c r="I33" i="4"/>
  <c r="I37" i="4" s="1"/>
  <c r="H33" i="4"/>
  <c r="H37" i="4" s="1"/>
  <c r="G33" i="4"/>
  <c r="G37" i="4" s="1"/>
  <c r="F33" i="4"/>
  <c r="F37" i="4" s="1"/>
  <c r="E33" i="4"/>
  <c r="E37" i="4" s="1"/>
  <c r="D33" i="4"/>
  <c r="D37" i="4" s="1"/>
  <c r="C33" i="4"/>
  <c r="C34" i="4" s="1"/>
  <c r="D34" i="4" s="1"/>
  <c r="P32" i="4"/>
  <c r="R32" i="4" s="1"/>
  <c r="C26" i="4"/>
  <c r="C30" i="4" s="1"/>
  <c r="D26" i="4"/>
  <c r="D30" i="4" s="1"/>
  <c r="E26" i="4"/>
  <c r="E30" i="4" s="1"/>
  <c r="F26" i="4"/>
  <c r="F30" i="4" s="1"/>
  <c r="G26" i="4"/>
  <c r="G30" i="4" s="1"/>
  <c r="H26" i="4"/>
  <c r="H30" i="4" s="1"/>
  <c r="I26" i="4"/>
  <c r="I30" i="4" s="1"/>
  <c r="J26" i="4"/>
  <c r="J30" i="4" s="1"/>
  <c r="K26" i="4"/>
  <c r="K30" i="4" s="1"/>
  <c r="L26" i="4"/>
  <c r="L30" i="4" s="1"/>
  <c r="M26" i="4"/>
  <c r="M30" i="4" s="1"/>
  <c r="N26" i="4"/>
  <c r="N30" i="4" s="1"/>
  <c r="O26" i="4"/>
  <c r="O30" i="4" s="1"/>
  <c r="P25" i="4"/>
  <c r="R25" i="4" s="1"/>
  <c r="D41" i="4" l="1"/>
  <c r="E41" i="4" s="1"/>
  <c r="F41" i="4" s="1"/>
  <c r="G41" i="4" s="1"/>
  <c r="E34" i="4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0" i="4"/>
  <c r="C27" i="4"/>
  <c r="D27" i="4" s="1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6" i="4"/>
  <c r="C44" i="4"/>
  <c r="C45" i="4" s="1"/>
  <c r="D45" i="4" s="1"/>
  <c r="E45" i="4" s="1"/>
  <c r="F45" i="4" s="1"/>
  <c r="G45" i="4" s="1"/>
  <c r="H45" i="4" s="1"/>
  <c r="I45" i="4" s="1"/>
  <c r="J45" i="4" s="1"/>
  <c r="K45" i="4" s="1"/>
  <c r="L45" i="4" s="1"/>
  <c r="M45" i="4" s="1"/>
  <c r="N45" i="4" s="1"/>
  <c r="O45" i="4" s="1"/>
  <c r="H41" i="4"/>
  <c r="I41" i="4" s="1"/>
  <c r="J41" i="4" s="1"/>
  <c r="K41" i="4" s="1"/>
  <c r="L41" i="4" s="1"/>
  <c r="M41" i="4" s="1"/>
  <c r="N41" i="4" s="1"/>
  <c r="O41" i="4" s="1"/>
  <c r="P40" i="4"/>
  <c r="C37" i="4"/>
  <c r="P33" i="4"/>
  <c r="P44" i="4" l="1"/>
  <c r="C38" i="4"/>
  <c r="D38" i="4" s="1"/>
  <c r="E38" i="4" s="1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7" i="4"/>
  <c r="O44" i="3" l="1"/>
  <c r="O41" i="3"/>
  <c r="O46" i="3"/>
  <c r="O43" i="3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19" i="4"/>
  <c r="R19" i="4" s="1"/>
  <c r="C18" i="4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7" i="4"/>
  <c r="R17" i="4" s="1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5" i="4"/>
  <c r="R15" i="4" s="1"/>
  <c r="O9" i="4"/>
  <c r="O7" i="4"/>
  <c r="O5" i="4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C8" i="4"/>
  <c r="D8" i="4" s="1"/>
  <c r="E8" i="4" s="1"/>
  <c r="F8" i="4" s="1"/>
  <c r="G8" i="4" s="1"/>
  <c r="H8" i="4" s="1"/>
  <c r="I8" i="4" s="1"/>
  <c r="J8" i="4" s="1"/>
  <c r="K8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C38" i="3"/>
  <c r="D38" i="3"/>
  <c r="D48" i="3" s="1"/>
  <c r="E38" i="3"/>
  <c r="E48" i="3" s="1"/>
  <c r="F38" i="3"/>
  <c r="F48" i="3" s="1"/>
  <c r="G38" i="3"/>
  <c r="G48" i="3" s="1"/>
  <c r="H38" i="3"/>
  <c r="H48" i="3" s="1"/>
  <c r="I38" i="3"/>
  <c r="I48" i="3" s="1"/>
  <c r="J38" i="3"/>
  <c r="J48" i="3" s="1"/>
  <c r="K38" i="3"/>
  <c r="K48" i="3" s="1"/>
  <c r="L38" i="3"/>
  <c r="L48" i="3" s="1"/>
  <c r="M38" i="3"/>
  <c r="M48" i="3" s="1"/>
  <c r="N38" i="3"/>
  <c r="N48" i="3" s="1"/>
  <c r="O32" i="3"/>
  <c r="O33" i="3"/>
  <c r="O34" i="3"/>
  <c r="O35" i="3"/>
  <c r="O36" i="3"/>
  <c r="O37" i="3"/>
  <c r="C19" i="3"/>
  <c r="C20" i="3"/>
  <c r="D20" i="3" s="1"/>
  <c r="E20" i="3" s="1"/>
  <c r="C22" i="3"/>
  <c r="C23" i="3"/>
  <c r="D23" i="3" s="1"/>
  <c r="E23" i="3" s="1"/>
  <c r="F23" i="3" s="1"/>
  <c r="C24" i="3"/>
  <c r="D24" i="3" s="1"/>
  <c r="E24" i="3" s="1"/>
  <c r="C25" i="3"/>
  <c r="O6" i="3"/>
  <c r="O7" i="3"/>
  <c r="O9" i="3"/>
  <c r="O10" i="3"/>
  <c r="O11" i="3"/>
  <c r="O12" i="3"/>
  <c r="C8" i="3"/>
  <c r="C13" i="3" s="1"/>
  <c r="D8" i="3"/>
  <c r="D13" i="3" s="1"/>
  <c r="E8" i="3"/>
  <c r="E13" i="3" s="1"/>
  <c r="F8" i="3"/>
  <c r="F13" i="3" s="1"/>
  <c r="G8" i="3"/>
  <c r="G13" i="3" s="1"/>
  <c r="H8" i="3"/>
  <c r="H13" i="3" s="1"/>
  <c r="I8" i="3"/>
  <c r="I13" i="3" s="1"/>
  <c r="J8" i="3"/>
  <c r="J13" i="3" s="1"/>
  <c r="K8" i="3"/>
  <c r="K13" i="3" s="1"/>
  <c r="L8" i="3"/>
  <c r="L13" i="3" s="1"/>
  <c r="M8" i="3"/>
  <c r="M13" i="3" s="1"/>
  <c r="N8" i="3"/>
  <c r="N13" i="3" s="1"/>
  <c r="L8" i="4" l="1"/>
  <c r="M8" i="4" s="1"/>
  <c r="N8" i="4" s="1"/>
  <c r="O8" i="4" s="1"/>
  <c r="O38" i="3"/>
  <c r="O48" i="3" s="1"/>
  <c r="C26" i="3"/>
  <c r="O13" i="3"/>
  <c r="O8" i="3"/>
  <c r="C21" i="3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F20" i="3"/>
  <c r="G20" i="3" s="1"/>
  <c r="H20" i="3" s="1"/>
  <c r="I20" i="3" s="1"/>
  <c r="J20" i="3" s="1"/>
  <c r="K20" i="3" s="1"/>
  <c r="L20" i="3" s="1"/>
  <c r="M20" i="3" s="1"/>
  <c r="N20" i="3" s="1"/>
  <c r="O20" i="3" s="1"/>
  <c r="G23" i="3"/>
  <c r="H23" i="3" s="1"/>
  <c r="I23" i="3" s="1"/>
  <c r="J23" i="3" s="1"/>
  <c r="K23" i="3" s="1"/>
  <c r="L23" i="3" s="1"/>
  <c r="M23" i="3" s="1"/>
  <c r="N23" i="3" s="1"/>
  <c r="O23" i="3" s="1"/>
  <c r="F24" i="3"/>
  <c r="G24" i="3" s="1"/>
  <c r="H24" i="3" s="1"/>
  <c r="I24" i="3" s="1"/>
  <c r="J24" i="3" s="1"/>
  <c r="K24" i="3" s="1"/>
  <c r="L24" i="3" s="1"/>
  <c r="M24" i="3" s="1"/>
  <c r="N24" i="3" s="1"/>
  <c r="O24" i="3" s="1"/>
  <c r="D21" i="3" l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D26" i="3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I3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O12" authorId="0" shapeId="0" xr:uid="{00000000-0006-0000-0100-000001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열병합 세너지 6건 제외</t>
        </r>
      </text>
    </comment>
    <comment ref="C36" authorId="0" shapeId="0" xr:uid="{00000000-0006-0000-0100-000002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사업계획상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D36" authorId="0" shapeId="0" xr:uid="{00000000-0006-0000-0100-000003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일일보고서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F36" authorId="0" shapeId="0" xr:uid="{00000000-0006-0000-0100-000004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월 총공급량 입력</t>
        </r>
      </text>
    </comment>
    <comment ref="G36" authorId="0" shapeId="0" xr:uid="{00000000-0006-0000-0100-000005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연간 달성률 입력</t>
        </r>
      </text>
    </comment>
    <comment ref="A42" authorId="0" shapeId="0" xr:uid="{00000000-0006-0000-0100-000006000000}">
      <text>
        <r>
          <rPr>
            <b/>
            <sz val="10"/>
            <color indexed="81"/>
            <rFont val="돋움"/>
            <family val="3"/>
            <charset val="129"/>
          </rPr>
          <t>박민지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▶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산업에너지팀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신규개발량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매월</t>
        </r>
        <r>
          <rPr>
            <sz val="10"/>
            <color indexed="81"/>
            <rFont val="Tahoma"/>
            <family val="2"/>
          </rPr>
          <t xml:space="preserve">) </t>
        </r>
        <r>
          <rPr>
            <sz val="10"/>
            <color indexed="81"/>
            <rFont val="돋움"/>
            <family val="3"/>
            <charset val="129"/>
          </rPr>
          <t>자료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B4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(200402)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요일</t>
        </r>
        <r>
          <rPr>
            <sz val="9"/>
            <color indexed="81"/>
            <rFont val="Tahoma"/>
            <family val="2"/>
          </rPr>
          <t xml:space="preserve"> sheet)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  <author>user</author>
  </authors>
  <commentList>
    <comment ref="A4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(210202)
 - </t>
        </r>
        <r>
          <rPr>
            <sz val="9"/>
            <color indexed="81"/>
            <rFont val="돋움"/>
            <family val="3"/>
            <charset val="129"/>
          </rPr>
          <t>당초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요일적용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Q47" authorId="1" shapeId="0" xr:uid="{BF8301A0-6372-4D16-923B-3EA09B8326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2025</t>
        </r>
        <r>
          <rPr>
            <b/>
            <sz val="10"/>
            <color indexed="81"/>
            <rFont val="돋움"/>
            <family val="3"/>
            <charset val="129"/>
          </rPr>
          <t>년사업계획작성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열량값을</t>
        </r>
        <r>
          <rPr>
            <b/>
            <sz val="10"/>
            <color indexed="81"/>
            <rFont val="Tahoma"/>
            <family val="2"/>
          </rPr>
          <t xml:space="preserve"> 42.432</t>
        </r>
        <r>
          <rPr>
            <b/>
            <sz val="10"/>
            <color indexed="81"/>
            <rFont val="돋움"/>
            <family val="3"/>
            <charset val="129"/>
          </rPr>
          <t>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적용해서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차이가남</t>
        </r>
      </text>
    </comment>
  </commentList>
</comments>
</file>

<file path=xl/sharedStrings.xml><?xml version="1.0" encoding="utf-8"?>
<sst xmlns="http://schemas.openxmlformats.org/spreadsheetml/2006/main" count="943" uniqueCount="378">
  <si>
    <t>구 분</t>
    <phoneticPr fontId="1" type="noConversion"/>
  </si>
  <si>
    <t>값 입력</t>
    <phoneticPr fontId="1" type="noConversion"/>
  </si>
  <si>
    <t xml:space="preserve"> 1. 공급전 실적</t>
    <phoneticPr fontId="1" type="noConversion"/>
  </si>
  <si>
    <t>구 분</t>
    <phoneticPr fontId="1" type="noConversion"/>
  </si>
  <si>
    <t>상 반 기</t>
    <phoneticPr fontId="1" type="noConversion"/>
  </si>
  <si>
    <t>공동주택</t>
    <phoneticPr fontId="1" type="noConversion"/>
  </si>
  <si>
    <t>단독주택</t>
    <phoneticPr fontId="1" type="noConversion"/>
  </si>
  <si>
    <t>가정용 소계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</si>
  <si>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</si>
  <si>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</si>
  <si>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</si>
  <si>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열병합</t>
    <phoneticPr fontId="1" type="noConversion"/>
  </si>
  <si>
    <t>합 계</t>
    <phoneticPr fontId="1" type="noConversion"/>
  </si>
  <si>
    <t>하 반 기</t>
    <phoneticPr fontId="1" type="noConversion"/>
  </si>
  <si>
    <t>연간계</t>
    <phoneticPr fontId="1" type="noConversion"/>
  </si>
  <si>
    <t xml:space="preserve"> 2. 공급전 누계</t>
    <phoneticPr fontId="1" type="noConversion"/>
  </si>
  <si>
    <t>연간 누계</t>
    <phoneticPr fontId="1" type="noConversion"/>
  </si>
  <si>
    <t xml:space="preserve"> 3. 공급량 실적</t>
    <phoneticPr fontId="1" type="noConversion"/>
  </si>
  <si>
    <t>연간 계</t>
    <phoneticPr fontId="1" type="noConversion"/>
  </si>
  <si>
    <t>가정용</t>
    <phoneticPr fontId="1" type="noConversion"/>
  </si>
  <si>
    <t>CNG</t>
    <phoneticPr fontId="1" type="noConversion"/>
  </si>
  <si>
    <t>월 공급량(㎥)</t>
    <phoneticPr fontId="1" type="noConversion"/>
  </si>
  <si>
    <t>월 공급량(GJ)</t>
    <phoneticPr fontId="1" type="noConversion"/>
  </si>
  <si>
    <t>합 계(㎥)</t>
    <phoneticPr fontId="1" type="noConversion"/>
  </si>
  <si>
    <t xml:space="preserve">  ▶ 공급량 확정값 입력(전체)</t>
    <phoneticPr fontId="1" type="noConversion"/>
  </si>
  <si>
    <t>■ 전체 데이터</t>
    <phoneticPr fontId="1" type="noConversion"/>
  </si>
  <si>
    <t>공급전</t>
    <phoneticPr fontId="1" type="noConversion"/>
  </si>
  <si>
    <t>공급전 누계</t>
    <phoneticPr fontId="1" type="noConversion"/>
  </si>
  <si>
    <t>공급량 누계(㎥)</t>
    <phoneticPr fontId="1" type="noConversion"/>
  </si>
  <si>
    <t>공급량 누계(GJ)</t>
    <phoneticPr fontId="1" type="noConversion"/>
  </si>
  <si>
    <t>누 계</t>
    <phoneticPr fontId="1" type="noConversion"/>
  </si>
  <si>
    <t>normal</t>
    <phoneticPr fontId="1" type="noConversion"/>
  </si>
  <si>
    <t>best</t>
    <phoneticPr fontId="1" type="noConversion"/>
  </si>
  <si>
    <t>con.</t>
    <phoneticPr fontId="1" type="noConversion"/>
  </si>
  <si>
    <t>월 공급량
(normal)</t>
    <phoneticPr fontId="1" type="noConversion"/>
  </si>
  <si>
    <t>월 공급량
(best)</t>
    <phoneticPr fontId="1" type="noConversion"/>
  </si>
  <si>
    <t>㎥</t>
    <phoneticPr fontId="1" type="noConversion"/>
  </si>
  <si>
    <t>GJ</t>
    <phoneticPr fontId="1" type="noConversion"/>
  </si>
  <si>
    <t>천㎥</t>
    <phoneticPr fontId="1" type="noConversion"/>
  </si>
  <si>
    <t>GJ</t>
    <phoneticPr fontId="1" type="noConversion"/>
  </si>
  <si>
    <t>검증</t>
    <phoneticPr fontId="1" type="noConversion"/>
  </si>
  <si>
    <t>누계</t>
    <phoneticPr fontId="1" type="noConversion"/>
  </si>
  <si>
    <t>누계</t>
    <phoneticPr fontId="1" type="noConversion"/>
  </si>
  <si>
    <t>TJ</t>
    <phoneticPr fontId="1" type="noConversion"/>
  </si>
  <si>
    <t>월 공급량
(con.)</t>
    <phoneticPr fontId="1" type="noConversion"/>
  </si>
  <si>
    <t>검증</t>
    <phoneticPr fontId="1" type="noConversion"/>
  </si>
  <si>
    <t>연간계</t>
    <phoneticPr fontId="1" type="noConversion"/>
  </si>
  <si>
    <t>MJ</t>
    <phoneticPr fontId="1" type="noConversion"/>
  </si>
  <si>
    <t>GJ</t>
    <phoneticPr fontId="1" type="noConversion"/>
  </si>
  <si>
    <t>MJ</t>
    <phoneticPr fontId="1" type="noConversion"/>
  </si>
  <si>
    <t>MJ</t>
    <phoneticPr fontId="1" type="noConversion"/>
  </si>
  <si>
    <t>GJ</t>
    <phoneticPr fontId="1" type="noConversion"/>
  </si>
  <si>
    <t>→ [공급량 일일보고서] 파일 → 총 공급량</t>
    <phoneticPr fontId="1" type="noConversion"/>
  </si>
  <si>
    <t>(N㎥)</t>
    <phoneticPr fontId="1" type="noConversion"/>
  </si>
  <si>
    <t>(천N㎥)</t>
    <phoneticPr fontId="1" type="noConversion"/>
  </si>
  <si>
    <t>부 피</t>
    <phoneticPr fontId="1" type="noConversion"/>
  </si>
  <si>
    <t>TJ</t>
    <phoneticPr fontId="1" type="noConversion"/>
  </si>
  <si>
    <t>열량</t>
    <phoneticPr fontId="1" type="noConversion"/>
  </si>
  <si>
    <t>누 계(천N㎥)</t>
    <phoneticPr fontId="1" type="noConversion"/>
  </si>
  <si>
    <t>누 계(TJ)</t>
    <phoneticPr fontId="1" type="noConversion"/>
  </si>
  <si>
    <t>1. 공급전</t>
  </si>
  <si>
    <t>공동주택</t>
  </si>
  <si>
    <t>단독주택</t>
  </si>
  <si>
    <t>가정용</t>
  </si>
  <si>
    <t>업무용</t>
  </si>
  <si>
    <t>산업용</t>
  </si>
  <si>
    <t>2. 개발량(㎥)</t>
    <phoneticPr fontId="8" type="noConversion"/>
  </si>
  <si>
    <t>매년 업데이트</t>
    <phoneticPr fontId="8" type="noConversion"/>
  </si>
  <si>
    <t>일반용</t>
    <phoneticPr fontId="1" type="noConversion"/>
  </si>
  <si>
    <t>열병합용</t>
    <phoneticPr fontId="1" type="noConversion"/>
  </si>
  <si>
    <t>상 반 기</t>
    <phoneticPr fontId="1" type="noConversion"/>
  </si>
  <si>
    <t>하 반 기</t>
    <phoneticPr fontId="1" type="noConversion"/>
  </si>
  <si>
    <t>연간계</t>
    <phoneticPr fontId="1" type="noConversion"/>
  </si>
  <si>
    <t>구분</t>
    <phoneticPr fontId="8" type="noConversion"/>
  </si>
  <si>
    <t>계</t>
    <phoneticPr fontId="8" type="noConversion"/>
  </si>
  <si>
    <t>산업용</t>
    <phoneticPr fontId="8" type="noConversion"/>
  </si>
  <si>
    <t>3. CNG</t>
    <phoneticPr fontId="8" type="noConversion"/>
  </si>
  <si>
    <t>시내버스</t>
    <phoneticPr fontId="1" type="noConversion"/>
  </si>
  <si>
    <t>버스(기타)</t>
    <phoneticPr fontId="1" type="noConversion"/>
  </si>
  <si>
    <t>청소차</t>
    <phoneticPr fontId="1" type="noConversion"/>
  </si>
  <si>
    <t>택시</t>
    <phoneticPr fontId="1" type="noConversion"/>
  </si>
  <si>
    <t>승용차</t>
    <phoneticPr fontId="1" type="noConversion"/>
  </si>
  <si>
    <t>합 계</t>
    <phoneticPr fontId="1" type="noConversion"/>
  </si>
  <si>
    <t>합 계</t>
    <phoneticPr fontId="1" type="noConversion"/>
  </si>
  <si>
    <t>합 계</t>
    <phoneticPr fontId="1" type="noConversion"/>
  </si>
  <si>
    <t>열병합용</t>
    <phoneticPr fontId="1" type="noConversion"/>
  </si>
  <si>
    <t>(누계)</t>
  </si>
  <si>
    <t>(누적)</t>
  </si>
  <si>
    <t>일반용</t>
    <phoneticPr fontId="8" type="noConversion"/>
  </si>
  <si>
    <t>일반용</t>
    <phoneticPr fontId="1" type="noConversion"/>
  </si>
  <si>
    <t>1. 계약전</t>
    <phoneticPr fontId="1" type="noConversion"/>
  </si>
  <si>
    <t xml:space="preserve"> NO</t>
  </si>
  <si>
    <t>공급대상</t>
    <phoneticPr fontId="14" type="noConversion"/>
  </si>
  <si>
    <t xml:space="preserve"> 1월</t>
  </si>
  <si>
    <t xml:space="preserve"> 2월</t>
  </si>
  <si>
    <t xml:space="preserve"> 3월</t>
  </si>
  <si>
    <t xml:space="preserve"> 4월</t>
  </si>
  <si>
    <t xml:space="preserve"> 5월</t>
  </si>
  <si>
    <t xml:space="preserve"> 6월</t>
  </si>
  <si>
    <t>상반기계</t>
    <phoneticPr fontId="14" type="noConversion"/>
  </si>
  <si>
    <t xml:space="preserve"> 7월</t>
  </si>
  <si>
    <t xml:space="preserve"> 8월</t>
  </si>
  <si>
    <t xml:space="preserve"> 9월</t>
  </si>
  <si>
    <t xml:space="preserve"> 10월</t>
  </si>
  <si>
    <t>11월</t>
    <phoneticPr fontId="13" type="noConversion"/>
  </si>
  <si>
    <t xml:space="preserve"> 12월</t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</si>
  <si>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</si>
  <si>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</si>
  <si>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</si>
  <si>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업무난방용</t>
  </si>
  <si>
    <t>냉난방용</t>
  </si>
  <si>
    <t>주한미군</t>
  </si>
  <si>
    <t>이월량</t>
    <phoneticPr fontId="27" type="noConversion"/>
  </si>
  <si>
    <t>공급량</t>
    <phoneticPr fontId="27" type="noConversion"/>
  </si>
  <si>
    <t>대비</t>
    <phoneticPr fontId="27" type="noConversion"/>
  </si>
  <si>
    <t>(단위: MJ)</t>
    <phoneticPr fontId="1" type="noConversion"/>
  </si>
  <si>
    <t>11월</t>
  </si>
  <si>
    <t>월</t>
    <phoneticPr fontId="14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</si>
  <si>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</si>
  <si>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</si>
  <si>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</si>
  <si>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</si>
  <si>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</si>
  <si>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</si>
  <si>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</si>
  <si>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</si>
  <si>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</si>
  <si>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</si>
  <si>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12월</t>
  </si>
  <si>
    <t>총합계</t>
    <phoneticPr fontId="1" type="noConversion"/>
  </si>
  <si>
    <t>MJ</t>
    <phoneticPr fontId="1" type="noConversion"/>
  </si>
  <si>
    <t>㎥</t>
    <phoneticPr fontId="1" type="noConversion"/>
  </si>
  <si>
    <t>공급대상</t>
    <phoneticPr fontId="14" type="noConversion"/>
  </si>
  <si>
    <t>전수</t>
    <phoneticPr fontId="14" type="noConversion"/>
  </si>
  <si>
    <t>상반기계</t>
    <phoneticPr fontId="14" type="noConversion"/>
  </si>
  <si>
    <t>11월</t>
    <phoneticPr fontId="13" type="noConversion"/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</si>
  <si>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</si>
  <si>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</si>
  <si>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</si>
  <si>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이월량</t>
    <phoneticPr fontId="27" type="noConversion"/>
  </si>
  <si>
    <t>공급량</t>
    <phoneticPr fontId="27" type="noConversion"/>
  </si>
  <si>
    <t>대비</t>
    <phoneticPr fontId="27" type="noConversion"/>
  </si>
  <si>
    <t>조업일수</t>
    <phoneticPr fontId="1" type="noConversion"/>
  </si>
  <si>
    <t>공급월</t>
    <phoneticPr fontId="14" type="noConversion"/>
  </si>
  <si>
    <t>(단위: ㎥)</t>
    <phoneticPr fontId="1" type="noConversion"/>
  </si>
  <si>
    <t>구 분</t>
    <phoneticPr fontId="1" type="noConversion"/>
  </si>
  <si>
    <t>일반용1
(영업)</t>
    <phoneticPr fontId="1" type="noConversion"/>
  </si>
  <si>
    <t>공급업소수(전)</t>
    <phoneticPr fontId="1" type="noConversion"/>
  </si>
  <si>
    <t>평균공급업소수(전)</t>
    <phoneticPr fontId="1" type="noConversion"/>
  </si>
  <si>
    <t>업소당일공급량(㎥)</t>
    <phoneticPr fontId="1" type="noConversion"/>
  </si>
  <si>
    <t>월공급량(㎥/월)</t>
    <phoneticPr fontId="1" type="noConversion"/>
  </si>
  <si>
    <t>월공급량(GJ/월)</t>
    <phoneticPr fontId="1" type="noConversion"/>
  </si>
  <si>
    <t>공급일수
(조업일수)</t>
    <phoneticPr fontId="1" type="noConversion"/>
  </si>
  <si>
    <t>정수화</t>
    <phoneticPr fontId="1" type="noConversion"/>
  </si>
  <si>
    <t>사업계획 적용 일수</t>
    <phoneticPr fontId="1" type="noConversion"/>
  </si>
  <si>
    <t>업소당일공급량(MJ)</t>
    <phoneticPr fontId="1" type="noConversion"/>
  </si>
  <si>
    <t>평균전당사용량(㎥/전)</t>
    <phoneticPr fontId="1" type="noConversion"/>
  </si>
  <si>
    <t>전당사용량</t>
    <phoneticPr fontId="1" type="noConversion"/>
  </si>
  <si>
    <t>(누계)</t>
    <phoneticPr fontId="1" type="noConversion"/>
  </si>
  <si>
    <t>(누적)</t>
    <phoneticPr fontId="1" type="noConversion"/>
  </si>
  <si>
    <t>→ 신규개발량 누계(㎥)</t>
    <phoneticPr fontId="1" type="noConversion"/>
  </si>
  <si>
    <t>→ 신규개발량 누적(㎥)</t>
    <phoneticPr fontId="1" type="noConversion"/>
  </si>
  <si>
    <t>■ 신규개발량</t>
    <phoneticPr fontId="1" type="noConversion"/>
  </si>
  <si>
    <t>1. 공급전</t>
    <phoneticPr fontId="1" type="noConversion"/>
  </si>
  <si>
    <t>전월</t>
    <phoneticPr fontId="1" type="noConversion"/>
  </si>
  <si>
    <t>당년</t>
    <phoneticPr fontId="1" type="noConversion"/>
  </si>
  <si>
    <t>총 누계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</si>
  <si>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</si>
  <si>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</si>
  <si>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</si>
  <si>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계획</t>
    <phoneticPr fontId="1" type="noConversion"/>
  </si>
  <si>
    <t>실적</t>
    <phoneticPr fontId="1" type="noConversion"/>
  </si>
  <si>
    <t>합 계(GJ)</t>
    <phoneticPr fontId="1" type="noConversion"/>
  </si>
  <si>
    <t>연간 누계</t>
    <phoneticPr fontId="1" type="noConversion"/>
  </si>
  <si>
    <t>연간</t>
    <phoneticPr fontId="1" type="noConversion"/>
  </si>
  <si>
    <t>연간 달성률</t>
    <phoneticPr fontId="1" type="noConversion"/>
  </si>
  <si>
    <t xml:space="preserve"> - 당월 실적 입력(영업일보)</t>
    <phoneticPr fontId="1" type="noConversion"/>
  </si>
  <si>
    <t>당월 실적</t>
    <phoneticPr fontId="1" type="noConversion"/>
  </si>
  <si>
    <t>열병합용</t>
    <phoneticPr fontId="1" type="noConversion"/>
  </si>
  <si>
    <t>전월 실적</t>
    <phoneticPr fontId="1" type="noConversion"/>
  </si>
  <si>
    <t xml:space="preserve"> ① 당월 실적 → 전월 실적 값 복사</t>
    <phoneticPr fontId="1" type="noConversion"/>
  </si>
  <si>
    <t>달성률</t>
    <phoneticPr fontId="1" type="noConversion"/>
  </si>
  <si>
    <t>연간 누계</t>
    <phoneticPr fontId="1" type="noConversion"/>
  </si>
  <si>
    <t xml:space="preserve"> - 누계 실적</t>
    <phoneticPr fontId="1" type="noConversion"/>
  </si>
  <si>
    <t>전월까지</t>
    <phoneticPr fontId="1" type="noConversion"/>
  </si>
  <si>
    <t>누계 전수</t>
    <phoneticPr fontId="1" type="noConversion"/>
  </si>
  <si>
    <t>당월까지</t>
    <phoneticPr fontId="1" type="noConversion"/>
  </si>
  <si>
    <t xml:space="preserve"> ② 당월까지 누계 실적 → 전월까지 누계 실적 값 복사</t>
    <phoneticPr fontId="1" type="noConversion"/>
  </si>
  <si>
    <t>달성률</t>
    <phoneticPr fontId="1" type="noConversion"/>
  </si>
  <si>
    <t>추정 실적</t>
    <phoneticPr fontId="1" type="noConversion"/>
  </si>
  <si>
    <t>4. 업무용, 산업용 실적</t>
    <phoneticPr fontId="1" type="noConversion"/>
  </si>
  <si>
    <t>업체명</t>
    <phoneticPr fontId="1" type="noConversion"/>
  </si>
  <si>
    <t>전수</t>
    <phoneticPr fontId="1" type="noConversion"/>
  </si>
  <si>
    <t>산업용</t>
    <phoneticPr fontId="1" type="noConversion"/>
  </si>
  <si>
    <t>업무용</t>
    <phoneticPr fontId="1" type="noConversion"/>
  </si>
  <si>
    <t>업체명</t>
    <phoneticPr fontId="1" type="noConversion"/>
  </si>
  <si>
    <t>전수</t>
    <phoneticPr fontId="1" type="noConversion"/>
  </si>
  <si>
    <t>사용량(㎥)</t>
    <phoneticPr fontId="1" type="noConversion"/>
  </si>
  <si>
    <t>사용량(㎥)</t>
    <phoneticPr fontId="1" type="noConversion"/>
  </si>
  <si>
    <t>구 분</t>
    <phoneticPr fontId="1" type="noConversion"/>
  </si>
  <si>
    <t>합 계</t>
    <phoneticPr fontId="1" type="noConversion"/>
  </si>
  <si>
    <t>3. 연간 공급량</t>
    <phoneticPr fontId="1" type="noConversion"/>
  </si>
  <si>
    <t>부피(천㎥)</t>
    <phoneticPr fontId="1" type="noConversion"/>
  </si>
  <si>
    <t>열량(GJ)</t>
    <phoneticPr fontId="1" type="noConversion"/>
  </si>
  <si>
    <t>산업에너지팀</t>
    <phoneticPr fontId="1" type="noConversion"/>
  </si>
  <si>
    <t>세너지 포함</t>
    <phoneticPr fontId="1" type="noConversion"/>
  </si>
  <si>
    <t>→ 매년 초 전당사용량 변경할 것 (개발량 계획 sheet)</t>
    <phoneticPr fontId="1" type="noConversion"/>
  </si>
  <si>
    <t>열병합</t>
    <phoneticPr fontId="1" type="noConversion"/>
  </si>
  <si>
    <t>▶ 당초사업계획 → [CNG계획 sheet] → 신규도입대수</t>
    <phoneticPr fontId="1" type="noConversion"/>
  </si>
  <si>
    <t>▶ 당초사업계획 → [공급전계획 sheet]</t>
    <phoneticPr fontId="1" type="noConversion"/>
  </si>
  <si>
    <t>▶ 사업계획 적용 일수 : 해당년도 당초 사업계획 → [공급량계획 sheet] → 당년 조업일수 입력</t>
    <phoneticPr fontId="1" type="noConversion"/>
  </si>
  <si>
    <t>▶ 정수화 : round 함수</t>
    <phoneticPr fontId="1" type="noConversion"/>
  </si>
  <si>
    <t>▶ 일반용1(영업) : 해당년도 당초 사업계획 → [공급량계획 sheet] → 28행~ 입력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</si>
  <si>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</si>
  <si>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</si>
  <si>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</si>
  <si>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</si>
  <si>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</si>
  <si>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</si>
  <si>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</si>
  <si>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</si>
  <si>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</si>
  <si>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</si>
  <si>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</si>
  <si>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업무용</t>
    <phoneticPr fontId="8" type="noConversion"/>
  </si>
  <si>
    <t>산업용</t>
    <phoneticPr fontId="8" type="noConversion"/>
  </si>
  <si>
    <t>1. 공급전 계획</t>
    <phoneticPr fontId="8" type="noConversion"/>
  </si>
  <si>
    <t>공동주택</t>
    <phoneticPr fontId="8" type="noConversion"/>
  </si>
  <si>
    <t>단독주택</t>
    <phoneticPr fontId="1" type="noConversion"/>
  </si>
  <si>
    <t>(누계)</t>
    <phoneticPr fontId="1" type="noConversion"/>
  </si>
  <si>
    <t>(누계)</t>
    <phoneticPr fontId="1" type="noConversion"/>
  </si>
  <si>
    <t>업무용</t>
    <phoneticPr fontId="1" type="noConversion"/>
  </si>
  <si>
    <t>산업용</t>
    <phoneticPr fontId="8" type="noConversion"/>
  </si>
  <si>
    <t>열병합용</t>
    <phoneticPr fontId="1" type="noConversion"/>
  </si>
  <si>
    <t>(누계)</t>
    <phoneticPr fontId="1" type="noConversion"/>
  </si>
  <si>
    <t>(누계)</t>
    <phoneticPr fontId="1" type="noConversion"/>
  </si>
  <si>
    <t>합 계</t>
    <phoneticPr fontId="1" type="noConversion"/>
  </si>
  <si>
    <t>2. 신규개발량(㎥)</t>
    <phoneticPr fontId="8" type="noConversion"/>
  </si>
  <si>
    <t>공동주택</t>
    <phoneticPr fontId="8" type="noConversion"/>
  </si>
  <si>
    <t>가정용</t>
    <phoneticPr fontId="8" type="noConversion"/>
  </si>
  <si>
    <t>업무용</t>
    <phoneticPr fontId="8" type="noConversion"/>
  </si>
  <si>
    <t>열병합용</t>
    <phoneticPr fontId="8" type="noConversion"/>
  </si>
  <si>
    <t>수송용</t>
    <phoneticPr fontId="8" type="noConversion"/>
  </si>
  <si>
    <t>합계</t>
    <phoneticPr fontId="1" type="noConversion"/>
  </si>
  <si>
    <t>일반용</t>
    <phoneticPr fontId="1" type="noConversion"/>
  </si>
  <si>
    <t>MJ</t>
    <phoneticPr fontId="1" type="noConversion"/>
  </si>
  <si>
    <t>누계</t>
    <phoneticPr fontId="1" type="noConversion"/>
  </si>
  <si>
    <t>누적</t>
    <phoneticPr fontId="1" type="noConversion"/>
  </si>
  <si>
    <t>월별</t>
    <phoneticPr fontId="1" type="noConversion"/>
  </si>
  <si>
    <t>㎥</t>
    <phoneticPr fontId="1" type="noConversion"/>
  </si>
  <si>
    <t>▶ 수송용</t>
    <phoneticPr fontId="1" type="noConversion"/>
  </si>
  <si>
    <t>누적</t>
    <phoneticPr fontId="1" type="noConversion"/>
  </si>
  <si>
    <t>2. 신규개발량(MJ)</t>
    <phoneticPr fontId="8" type="noConversion"/>
  </si>
  <si>
    <t>단독주택</t>
    <phoneticPr fontId="8" type="noConversion"/>
  </si>
  <si>
    <t>2. 공급량 실적</t>
    <phoneticPr fontId="8" type="noConversion"/>
  </si>
  <si>
    <t>비 고</t>
    <phoneticPr fontId="8" type="noConversion"/>
  </si>
  <si>
    <t>열량(MJ)</t>
    <phoneticPr fontId="1" type="noConversion"/>
  </si>
  <si>
    <t>부피(㎥)</t>
    <phoneticPr fontId="1" type="noConversion"/>
  </si>
  <si>
    <t>공급량</t>
    <phoneticPr fontId="1" type="noConversion"/>
  </si>
  <si>
    <t>1. 공급전 실적</t>
    <phoneticPr fontId="8" type="noConversion"/>
  </si>
  <si>
    <t>환산값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</si>
  <si>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</si>
  <si>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</si>
  <si>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</si>
  <si>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</si>
  <si>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</si>
  <si>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</si>
  <si>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</si>
  <si>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</si>
  <si>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</si>
  <si>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</si>
  <si>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</si>
  <si>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2월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</si>
  <si>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</si>
  <si>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</si>
  <si>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</si>
  <si>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</si>
  <si>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</si>
  <si>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</si>
  <si>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</si>
  <si>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</si>
  <si>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</si>
  <si>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</si>
  <si>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</si>
  <si>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</si>
  <si>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열량(GJ)</t>
    <phoneticPr fontId="8" type="noConversion"/>
  </si>
  <si>
    <t>공동주택</t>
    <phoneticPr fontId="1" type="noConversion"/>
  </si>
  <si>
    <t>단독주택</t>
    <phoneticPr fontId="1" type="noConversion"/>
  </si>
  <si>
    <t>가정용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</si>
  <si>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</si>
  <si>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</si>
  <si>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</si>
  <si>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합계(CNG 제외)</t>
    <phoneticPr fontId="1" type="noConversion"/>
  </si>
  <si>
    <t>CNG</t>
    <phoneticPr fontId="1" type="noConversion"/>
  </si>
  <si>
    <t>합계(CNG 포함)</t>
    <phoneticPr fontId="1" type="noConversion"/>
  </si>
  <si>
    <t>부피(㎥)</t>
    <phoneticPr fontId="8" type="noConversion"/>
  </si>
  <si>
    <t>2. 신규개발량(㎥)</t>
    <phoneticPr fontId="1" type="noConversion"/>
  </si>
  <si>
    <t>0. 요약</t>
    <phoneticPr fontId="8" type="noConversion"/>
  </si>
  <si>
    <t>일반용1</t>
  </si>
  <si>
    <t>일반용2</t>
  </si>
  <si>
    <t>2023년 공급량(MJ)</t>
  </si>
  <si>
    <t>2023년 공급량(N㎥)</t>
  </si>
  <si>
    <t>대 비(%)</t>
  </si>
  <si>
    <t>열량</t>
    <phoneticPr fontId="1" type="noConversion"/>
  </si>
  <si>
    <t>전년 대비</t>
    <phoneticPr fontId="1" type="noConversion"/>
  </si>
  <si>
    <t>부피</t>
    <phoneticPr fontId="1" type="noConversion"/>
  </si>
  <si>
    <t>누계</t>
    <phoneticPr fontId="1" type="noConversion"/>
  </si>
  <si>
    <t xml:space="preserve"> - 전년 비교(누계)</t>
    <phoneticPr fontId="1" type="noConversion"/>
  </si>
  <si>
    <t>월별</t>
    <phoneticPr fontId="1" type="noConversion"/>
  </si>
  <si>
    <t>누계</t>
    <phoneticPr fontId="1" type="noConversion"/>
  </si>
  <si>
    <t>■ 당초 사업계획 - 개발량</t>
    <phoneticPr fontId="1" type="noConversion"/>
  </si>
  <si>
    <t>누적계획</t>
    <phoneticPr fontId="1" type="noConversion"/>
  </si>
  <si>
    <t>누적실적</t>
    <phoneticPr fontId="1" type="noConversion"/>
  </si>
  <si>
    <t>달성률</t>
    <phoneticPr fontId="1" type="noConversion"/>
  </si>
  <si>
    <t xml:space="preserve"> - 수송용 제외</t>
    <phoneticPr fontId="1" type="noConversion"/>
  </si>
  <si>
    <t>수송용 제외</t>
    <phoneticPr fontId="1" type="noConversion"/>
  </si>
  <si>
    <t>수송용 포함</t>
    <phoneticPr fontId="1" type="noConversion"/>
  </si>
  <si>
    <t>수송용 포함</t>
    <phoneticPr fontId="1" type="noConversion"/>
  </si>
  <si>
    <t>■ 중점추진업무 관련 신규개발량(다소비업종 실 신규개발량 + 월별 다소비업종 전수 제외한 전당사용량 적용 신규개발량)</t>
    <phoneticPr fontId="1" type="noConversion"/>
  </si>
  <si>
    <t>개발량</t>
    <phoneticPr fontId="1" type="noConversion"/>
  </si>
  <si>
    <t>일반용 신규개발량(㎥)</t>
    <phoneticPr fontId="1" type="noConversion"/>
  </si>
  <si>
    <t xml:space="preserve"> ---- 다소비 업종 신규개발량(김상욱 부팀장님 관리 자료 적용)</t>
    <phoneticPr fontId="1" type="noConversion"/>
  </si>
  <si>
    <t>일반용
(㎥)</t>
    <phoneticPr fontId="8" type="noConversion"/>
  </si>
  <si>
    <t>환산값</t>
  </si>
  <si>
    <t>일반용
(MJ)</t>
    <phoneticPr fontId="8" type="noConversion"/>
  </si>
  <si>
    <t>일반용(MJ)</t>
    <phoneticPr fontId="1" type="noConversion"/>
  </si>
  <si>
    <t>일반용 신규개발량(MJ)</t>
    <phoneticPr fontId="1" type="noConversion"/>
  </si>
  <si>
    <t>업무</t>
    <phoneticPr fontId="1" type="noConversion"/>
  </si>
  <si>
    <t>산업</t>
    <phoneticPr fontId="1" type="noConversion"/>
  </si>
  <si>
    <t>공동</t>
    <phoneticPr fontId="1" type="noConversion"/>
  </si>
  <si>
    <t>단독</t>
    <phoneticPr fontId="1" type="noConversion"/>
  </si>
  <si>
    <t>가정용</t>
    <phoneticPr fontId="1" type="noConversion"/>
  </si>
  <si>
    <t>영업용</t>
    <phoneticPr fontId="1" type="noConversion"/>
  </si>
  <si>
    <t>CNG</t>
    <phoneticPr fontId="1" type="noConversion"/>
  </si>
  <si>
    <t>합계</t>
    <phoneticPr fontId="1" type="noConversion"/>
  </si>
  <si>
    <t>열량</t>
    <phoneticPr fontId="1" type="noConversion"/>
  </si>
  <si>
    <t>D:\수요개발팀\기획\000. 월별 실적_매월 확인_추정\2. 신규 개발량\2023년\2023년 다소비업종 신규개발량 실적 입력</t>
    <phoneticPr fontId="1" type="noConversion"/>
  </si>
  <si>
    <t>2024년 개발량</t>
    <phoneticPr fontId="1" type="noConversion"/>
  </si>
  <si>
    <t>2023년 이월량</t>
  </si>
  <si>
    <t>2024년 공급량(MJ)</t>
  </si>
  <si>
    <t>2024년 공급량(N㎥)</t>
  </si>
  <si>
    <t>평화산업진량공장</t>
  </si>
  <si>
    <t>2024년 일반용 공급 계획</t>
    <phoneticPr fontId="13" type="noConversion"/>
  </si>
  <si>
    <t>→ [공급량 재산정] 파일 → 확정 공급량 값 입력</t>
    <phoneticPr fontId="1" type="noConversion"/>
  </si>
  <si>
    <t>1. 2024년 실적</t>
    <phoneticPr fontId="1" type="noConversion"/>
  </si>
  <si>
    <t xml:space="preserve"> 2. 2025년 공급전 계획</t>
    <phoneticPr fontId="1" type="noConversion"/>
  </si>
  <si>
    <t xml:space="preserve"> 3. 2025년 공급량 계획</t>
    <phoneticPr fontId="1" type="noConversion"/>
  </si>
  <si>
    <t>▶ 2025년 열량값</t>
    <phoneticPr fontId="1" type="noConversion"/>
  </si>
  <si>
    <t>2025년
열량값</t>
    <phoneticPr fontId="1" type="noConversion"/>
  </si>
  <si>
    <t>2024년</t>
    <phoneticPr fontId="1" type="noConversion"/>
  </si>
  <si>
    <t>2025년</t>
    <phoneticPr fontId="1" type="noConversion"/>
  </si>
  <si>
    <t>도금조합</t>
  </si>
  <si>
    <t>㈜경희정공</t>
  </si>
  <si>
    <t>켐프</t>
  </si>
  <si>
    <t>백광테크</t>
  </si>
  <si>
    <t>㈜일성도금</t>
  </si>
  <si>
    <t>동보</t>
  </si>
  <si>
    <t>평화산업</t>
  </si>
  <si>
    <t>광진금속</t>
  </si>
  <si>
    <t>홍진산업</t>
  </si>
  <si>
    <t>대구텍</t>
  </si>
  <si>
    <t>코솔텍</t>
  </si>
  <si>
    <t>2025년 산업용 공급 계획</t>
    <phoneticPr fontId="13" type="noConversion"/>
  </si>
  <si>
    <t>2025년 개발량(MJ)</t>
    <phoneticPr fontId="1" type="noConversion"/>
  </si>
  <si>
    <t>2025년 개발량(N㎥)</t>
    <phoneticPr fontId="1" type="noConversion"/>
  </si>
  <si>
    <t>2024년 이월량(MJ)</t>
    <phoneticPr fontId="1" type="noConversion"/>
  </si>
  <si>
    <t>2024년 이월량(N㎥)</t>
    <phoneticPr fontId="1" type="noConversion"/>
  </si>
  <si>
    <t>2025년 공급량(MJ)</t>
    <phoneticPr fontId="1" type="noConversion"/>
  </si>
  <si>
    <t>2025년 공급량(N㎥)</t>
    <phoneticPr fontId="1" type="noConversion"/>
  </si>
  <si>
    <t>2024년 공급량(MJ)</t>
    <phoneticPr fontId="1" type="noConversion"/>
  </si>
  <si>
    <t>2024년 공급량(N㎥)</t>
    <phoneticPr fontId="1" type="noConversion"/>
  </si>
  <si>
    <t>(250124) 3. 주택형태별 연간사용량 분석_작성_격월검침반영_확정</t>
    <phoneticPr fontId="8" type="noConversion"/>
  </si>
  <si>
    <t>2025년 전당사용량</t>
    <phoneticPr fontId="1" type="noConversion"/>
  </si>
  <si>
    <t>2025년 업무용 공급 계획</t>
    <phoneticPr fontId="13" type="noConversion"/>
  </si>
  <si>
    <t>2025년 개발 계획</t>
    <phoneticPr fontId="8" type="noConversion"/>
  </si>
  <si>
    <t>2025년 계약전 계획</t>
    <phoneticPr fontId="8" type="noConversion"/>
  </si>
  <si>
    <t>(250124) 3. 주택형태별 연간사용량 분석_작성_격월검침반영_확정</t>
  </si>
  <si>
    <t>■ 실적(2025년)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</si>
</sst>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_-* #,##0.00_-;\-* #,##0.00_-;_-* &quot;-&quot;_-;_-@_-"/>
    <numFmt numFmtId="179" formatCode="\(#,##0\)"/>
    <numFmt numFmtId="180" formatCode="_-* #,##0.000000_-;\-* #,##0.000000_-;_-* &quot;-&quot;_-;_-@_-"/>
    <numFmt numFmtId="181" formatCode="#,##0_);[Red]\(#,##0\)"/>
    <numFmt numFmtId="182" formatCode="#,##0,\ "/>
    <numFmt numFmtId="183" formatCode="0_);[Red]\(0\)"/>
    <numFmt numFmtId="184" formatCode="#,##0.00_ "/>
    <numFmt numFmtId="185" formatCode="0.000"/>
    <numFmt numFmtId="186" formatCode="#&quot;월&quot;"/>
    <numFmt numFmtId="187" formatCode="_-* #,##0.000_-;\-* #,##0.000_-;_-* &quot;-&quot;_-;_-@_-"/>
    <numFmt numFmtId="188" formatCode="#,##0.000_ "/>
    <numFmt numFmtId="189" formatCode="_-* #,##0_-;\-* #,##0_-;_-* &quot;-&quot;??_-;_-@_-"/>
    <numFmt numFmtId="190" formatCode="_-* #,##0.0000_-;\-* #,##0.0000_-;_-* &quot;-&quot;_-;_-@_-"/>
    <numFmt numFmtId="193" formatCode="&quot;2025년&quot;\ #&quot;월 기준&quot;"/>
  </numFmts>
  <fonts count="6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b/>
      <sz val="16"/>
      <color indexed="8"/>
      <name val="굴림체"/>
      <family val="3"/>
      <charset val="129"/>
    </font>
    <font>
      <sz val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sz val="12"/>
      <color indexed="8"/>
      <name val="굴림체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b/>
      <sz val="11"/>
      <color indexed="8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24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36"/>
      <name val="돋움"/>
      <family val="3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b/>
      <sz val="11"/>
      <color indexed="81"/>
      <name val="맑은 고딕"/>
      <family val="3"/>
      <charset val="129"/>
    </font>
    <font>
      <sz val="11"/>
      <color indexed="81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2"/>
      <color rgb="FF0000FF"/>
      <name val="굴림체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1"/>
      <color rgb="FF0000FF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sz val="10"/>
      <color rgb="FF000000"/>
      <name val="HY견명조"/>
      <family val="1"/>
      <charset val="129"/>
    </font>
    <font>
      <b/>
      <sz val="10"/>
      <color rgb="FF000000"/>
      <name val="HY견명조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FF"/>
      <name val="HY견명조"/>
      <family val="1"/>
      <charset val="129"/>
    </font>
    <font>
      <b/>
      <sz val="10"/>
      <color rgb="FF0000FF"/>
      <name val="HY견명조"/>
      <family val="1"/>
      <charset val="129"/>
    </font>
    <font>
      <sz val="11"/>
      <color indexed="8"/>
      <name val="굴림체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/>
    <xf numFmtId="41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23" fillId="0" borderId="0"/>
    <xf numFmtId="0" fontId="23" fillId="0" borderId="0"/>
    <xf numFmtId="41" fontId="23" fillId="0" borderId="0" applyFont="0" applyFill="0" applyBorder="0" applyAlignment="0" applyProtection="0"/>
    <xf numFmtId="0" fontId="32" fillId="0" borderId="0">
      <alignment vertical="center"/>
    </xf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</cellStyleXfs>
  <cellXfs count="47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Continuous" vertical="center"/>
    </xf>
    <xf numFmtId="0" fontId="4" fillId="0" borderId="0" xfId="0" applyFont="1">
      <alignment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41" fontId="0" fillId="2" borderId="1" xfId="1" applyFont="1" applyFill="1" applyBorder="1">
      <alignment vertical="center"/>
    </xf>
    <xf numFmtId="41" fontId="0" fillId="0" borderId="1" xfId="1" applyFont="1" applyFill="1" applyBorder="1">
      <alignment vertical="center"/>
    </xf>
    <xf numFmtId="41" fontId="5" fillId="2" borderId="1" xfId="1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41" fontId="5" fillId="3" borderId="1" xfId="1" applyFont="1" applyFill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41" fontId="0" fillId="2" borderId="10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0" fontId="4" fillId="0" borderId="11" xfId="0" applyFont="1" applyFill="1" applyBorder="1" applyAlignment="1">
      <alignment horizontal="center" vertical="center"/>
    </xf>
    <xf numFmtId="41" fontId="0" fillId="0" borderId="11" xfId="1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41" fontId="0" fillId="2" borderId="12" xfId="1" applyFont="1" applyFill="1" applyBorder="1">
      <alignment vertical="center"/>
    </xf>
    <xf numFmtId="41" fontId="0" fillId="0" borderId="12" xfId="1" applyFont="1" applyFill="1" applyBorder="1">
      <alignment vertical="center"/>
    </xf>
    <xf numFmtId="41" fontId="0" fillId="0" borderId="12" xfId="1" applyNumberFormat="1" applyFont="1" applyFill="1" applyBorder="1">
      <alignment vertical="center"/>
    </xf>
    <xf numFmtId="41" fontId="0" fillId="0" borderId="10" xfId="1" applyNumberFormat="1" applyFont="1" applyFill="1" applyBorder="1">
      <alignment vertical="center"/>
    </xf>
    <xf numFmtId="41" fontId="0" fillId="0" borderId="14" xfId="1" applyFont="1" applyFill="1" applyBorder="1">
      <alignment vertical="center"/>
    </xf>
    <xf numFmtId="0" fontId="4" fillId="0" borderId="15" xfId="0" applyFont="1" applyBorder="1" applyAlignment="1">
      <alignment horizontal="center" vertical="center"/>
    </xf>
    <xf numFmtId="41" fontId="0" fillId="0" borderId="15" xfId="1" applyFont="1" applyFill="1" applyBorder="1">
      <alignment vertical="center"/>
    </xf>
    <xf numFmtId="41" fontId="0" fillId="0" borderId="15" xfId="1" applyNumberFormat="1" applyFont="1" applyFill="1" applyBorder="1">
      <alignment vertical="center"/>
    </xf>
    <xf numFmtId="0" fontId="4" fillId="5" borderId="16" xfId="0" applyFont="1" applyFill="1" applyBorder="1" applyAlignment="1">
      <alignment horizontal="center" vertical="center"/>
    </xf>
    <xf numFmtId="41" fontId="0" fillId="5" borderId="17" xfId="1" applyFont="1" applyFill="1" applyBorder="1">
      <alignment vertical="center"/>
    </xf>
    <xf numFmtId="41" fontId="0" fillId="5" borderId="18" xfId="1" applyFont="1" applyFill="1" applyBorder="1">
      <alignment vertical="center"/>
    </xf>
    <xf numFmtId="41" fontId="0" fillId="0" borderId="9" xfId="1" applyNumberFormat="1" applyFont="1" applyFill="1" applyBorder="1">
      <alignment vertical="center"/>
    </xf>
    <xf numFmtId="0" fontId="4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41" fontId="5" fillId="0" borderId="1" xfId="1" applyFont="1" applyFill="1" applyBorder="1">
      <alignment vertical="center"/>
    </xf>
    <xf numFmtId="0" fontId="4" fillId="3" borderId="19" xfId="0" applyFont="1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0" fillId="4" borderId="21" xfId="0" applyFill="1" applyBorder="1">
      <alignment vertical="center"/>
    </xf>
    <xf numFmtId="1" fontId="0" fillId="0" borderId="0" xfId="0" applyNumberFormat="1">
      <alignment vertical="center"/>
    </xf>
    <xf numFmtId="0" fontId="7" fillId="0" borderId="0" xfId="2" applyFont="1" applyFill="1" applyAlignment="1">
      <alignment horizontal="centerContinuous" vertical="center"/>
    </xf>
    <xf numFmtId="0" fontId="10" fillId="0" borderId="0" xfId="2" applyFont="1" applyFill="1" applyAlignment="1">
      <alignment horizontal="centerContinuous" vertical="center"/>
    </xf>
    <xf numFmtId="0" fontId="10" fillId="0" borderId="0" xfId="2" applyFont="1" applyFill="1" applyAlignment="1">
      <alignment vertical="center"/>
    </xf>
    <xf numFmtId="41" fontId="10" fillId="0" borderId="0" xfId="2" applyNumberFormat="1" applyFont="1" applyFill="1" applyAlignment="1">
      <alignment vertical="center"/>
    </xf>
    <xf numFmtId="0" fontId="10" fillId="7" borderId="26" xfId="2" applyFont="1" applyFill="1" applyBorder="1" applyAlignment="1">
      <alignment horizontal="centerContinuous" vertical="center"/>
    </xf>
    <xf numFmtId="0" fontId="10" fillId="7" borderId="5" xfId="2" applyFont="1" applyFill="1" applyBorder="1" applyAlignment="1">
      <alignment horizontal="centerContinuous" vertical="center"/>
    </xf>
    <xf numFmtId="0" fontId="11" fillId="6" borderId="27" xfId="2" applyFont="1" applyFill="1" applyBorder="1" applyAlignment="1">
      <alignment horizontal="center" vertical="center"/>
    </xf>
    <xf numFmtId="0" fontId="11" fillId="6" borderId="24" xfId="2" applyFont="1" applyFill="1" applyBorder="1" applyAlignment="1">
      <alignment horizontal="center" vertical="center"/>
    </xf>
    <xf numFmtId="0" fontId="10" fillId="6" borderId="24" xfId="2" applyFont="1" applyFill="1" applyBorder="1" applyAlignment="1">
      <alignment horizontal="center" vertical="center"/>
    </xf>
    <xf numFmtId="0" fontId="10" fillId="0" borderId="7" xfId="2" applyFont="1" applyFill="1" applyBorder="1" applyAlignment="1">
      <alignment horizontal="center" vertical="center"/>
    </xf>
    <xf numFmtId="41" fontId="10" fillId="0" borderId="7" xfId="2" applyNumberFormat="1" applyFont="1" applyFill="1" applyBorder="1" applyAlignment="1">
      <alignment vertical="center"/>
    </xf>
    <xf numFmtId="0" fontId="10" fillId="0" borderId="10" xfId="2" applyFont="1" applyFill="1" applyBorder="1" applyAlignment="1">
      <alignment horizontal="center" vertical="center"/>
    </xf>
    <xf numFmtId="41" fontId="10" fillId="0" borderId="10" xfId="2" applyNumberFormat="1" applyFont="1" applyFill="1" applyBorder="1" applyAlignment="1">
      <alignment vertical="center"/>
    </xf>
    <xf numFmtId="43" fontId="10" fillId="0" borderId="0" xfId="2" applyNumberFormat="1" applyFont="1" applyFill="1" applyAlignment="1">
      <alignment vertical="center"/>
    </xf>
    <xf numFmtId="41" fontId="10" fillId="0" borderId="7" xfId="3" applyFont="1" applyFill="1" applyBorder="1" applyAlignment="1">
      <alignment vertical="center"/>
    </xf>
    <xf numFmtId="41" fontId="10" fillId="0" borderId="10" xfId="3" applyFont="1" applyFill="1" applyBorder="1" applyAlignment="1">
      <alignment vertical="center"/>
    </xf>
    <xf numFmtId="0" fontId="9" fillId="0" borderId="0" xfId="2" applyFont="1" applyFill="1" applyAlignment="1">
      <alignment vertical="center"/>
    </xf>
    <xf numFmtId="177" fontId="10" fillId="0" borderId="0" xfId="5" applyNumberFormat="1" applyFont="1" applyFill="1" applyAlignment="1">
      <alignment vertical="center"/>
    </xf>
    <xf numFmtId="0" fontId="10" fillId="0" borderId="12" xfId="2" applyFont="1" applyFill="1" applyBorder="1" applyAlignment="1">
      <alignment horizontal="center" vertical="center"/>
    </xf>
    <xf numFmtId="41" fontId="10" fillId="0" borderId="12" xfId="2" applyNumberFormat="1" applyFont="1" applyFill="1" applyBorder="1" applyAlignment="1">
      <alignment vertical="center"/>
    </xf>
    <xf numFmtId="0" fontId="10" fillId="0" borderId="19" xfId="2" applyFont="1" applyFill="1" applyBorder="1" applyAlignment="1">
      <alignment horizontal="center" vertical="center"/>
    </xf>
    <xf numFmtId="41" fontId="10" fillId="0" borderId="19" xfId="2" applyNumberFormat="1" applyFont="1" applyFill="1" applyBorder="1" applyAlignment="1">
      <alignment vertical="center"/>
    </xf>
    <xf numFmtId="41" fontId="10" fillId="6" borderId="1" xfId="3" applyFont="1" applyFill="1" applyBorder="1" applyAlignment="1">
      <alignment vertical="center"/>
    </xf>
    <xf numFmtId="41" fontId="10" fillId="6" borderId="1" xfId="2" applyNumberFormat="1" applyFont="1" applyFill="1" applyBorder="1" applyAlignment="1">
      <alignment vertical="center"/>
    </xf>
    <xf numFmtId="0" fontId="10" fillId="0" borderId="0" xfId="2" applyFont="1" applyFill="1" applyBorder="1" applyAlignment="1">
      <alignment horizontal="center" vertical="center"/>
    </xf>
    <xf numFmtId="41" fontId="10" fillId="0" borderId="0" xfId="2" applyNumberFormat="1" applyFont="1" applyFill="1" applyBorder="1" applyAlignment="1">
      <alignment vertical="center"/>
    </xf>
    <xf numFmtId="0" fontId="10" fillId="6" borderId="5" xfId="2" applyFont="1" applyFill="1" applyBorder="1" applyAlignment="1">
      <alignment horizontal="center" vertical="center"/>
    </xf>
    <xf numFmtId="41" fontId="15" fillId="0" borderId="0" xfId="3" applyFont="1" applyFill="1" applyAlignment="1">
      <alignment horizontal="center" vertical="center"/>
    </xf>
    <xf numFmtId="41" fontId="12" fillId="0" borderId="7" xfId="3" applyFont="1" applyFill="1" applyBorder="1" applyAlignment="1">
      <alignment horizontal="center" vertical="center"/>
    </xf>
    <xf numFmtId="179" fontId="16" fillId="0" borderId="10" xfId="3" applyNumberFormat="1" applyFont="1" applyFill="1" applyBorder="1" applyAlignment="1">
      <alignment horizontal="right" vertical="center"/>
    </xf>
    <xf numFmtId="41" fontId="12" fillId="0" borderId="10" xfId="3" applyFont="1" applyFill="1" applyBorder="1" applyAlignment="1">
      <alignment horizontal="center" vertical="center"/>
    </xf>
    <xf numFmtId="41" fontId="12" fillId="0" borderId="11" xfId="3" applyFont="1" applyFill="1" applyBorder="1" applyAlignment="1">
      <alignment horizontal="center" vertical="center"/>
    </xf>
    <xf numFmtId="41" fontId="12" fillId="0" borderId="0" xfId="3" applyFont="1" applyFill="1" applyAlignment="1">
      <alignment horizontal="center" vertical="center"/>
    </xf>
    <xf numFmtId="41" fontId="12" fillId="0" borderId="0" xfId="3" applyFont="1" applyFill="1" applyAlignment="1">
      <alignment horizontal="left" vertical="center"/>
    </xf>
    <xf numFmtId="176" fontId="10" fillId="0" borderId="10" xfId="2" applyNumberFormat="1" applyFont="1" applyFill="1" applyBorder="1" applyAlignment="1">
      <alignment vertical="center"/>
    </xf>
    <xf numFmtId="176" fontId="10" fillId="0" borderId="12" xfId="2" applyNumberFormat="1" applyFont="1" applyFill="1" applyBorder="1" applyAlignment="1">
      <alignment vertical="center"/>
    </xf>
    <xf numFmtId="176" fontId="10" fillId="6" borderId="1" xfId="2" applyNumberFormat="1" applyFont="1" applyFill="1" applyBorder="1" applyAlignment="1">
      <alignment vertical="center"/>
    </xf>
    <xf numFmtId="41" fontId="10" fillId="0" borderId="7" xfId="1" applyFont="1" applyFill="1" applyBorder="1" applyAlignment="1">
      <alignment vertical="center"/>
    </xf>
    <xf numFmtId="41" fontId="10" fillId="0" borderId="12" xfId="1" applyFont="1" applyFill="1" applyBorder="1" applyAlignment="1">
      <alignment vertical="center"/>
    </xf>
    <xf numFmtId="41" fontId="10" fillId="6" borderId="1" xfId="1" applyFont="1" applyFill="1" applyBorder="1" applyAlignment="1">
      <alignment vertical="center"/>
    </xf>
    <xf numFmtId="41" fontId="10" fillId="0" borderId="19" xfId="1" applyFont="1" applyFill="1" applyBorder="1" applyAlignment="1">
      <alignment vertical="center"/>
    </xf>
    <xf numFmtId="41" fontId="10" fillId="0" borderId="10" xfId="1" applyFont="1" applyFill="1" applyBorder="1" applyAlignment="1">
      <alignment vertical="center"/>
    </xf>
    <xf numFmtId="41" fontId="10" fillId="0" borderId="12" xfId="3" applyFont="1" applyFill="1" applyBorder="1" applyAlignment="1">
      <alignment vertical="center"/>
    </xf>
    <xf numFmtId="41" fontId="10" fillId="0" borderId="19" xfId="3" applyFont="1" applyFill="1" applyBorder="1" applyAlignment="1">
      <alignment vertical="center"/>
    </xf>
    <xf numFmtId="0" fontId="22" fillId="0" borderId="0" xfId="2" applyFont="1" applyFill="1" applyAlignment="1">
      <alignment horizontal="left" vertical="center"/>
    </xf>
    <xf numFmtId="0" fontId="16" fillId="0" borderId="15" xfId="3" applyNumberFormat="1" applyFont="1" applyFill="1" applyBorder="1" applyAlignment="1">
      <alignment horizontal="right" vertical="center"/>
    </xf>
    <xf numFmtId="0" fontId="15" fillId="10" borderId="1" xfId="3" applyNumberFormat="1" applyFont="1" applyFill="1" applyBorder="1" applyAlignment="1">
      <alignment horizontal="center" vertical="center"/>
    </xf>
    <xf numFmtId="41" fontId="15" fillId="4" borderId="20" xfId="3" applyFont="1" applyFill="1" applyBorder="1" applyAlignment="1">
      <alignment horizontal="center" vertical="center"/>
    </xf>
    <xf numFmtId="41" fontId="17" fillId="0" borderId="0" xfId="3" applyFont="1" applyFill="1" applyAlignment="1">
      <alignment horizontal="center" vertical="center"/>
    </xf>
    <xf numFmtId="41" fontId="15" fillId="4" borderId="2" xfId="3" applyFont="1" applyFill="1" applyBorder="1" applyAlignment="1">
      <alignment horizontal="center" vertical="center"/>
    </xf>
    <xf numFmtId="41" fontId="12" fillId="0" borderId="1" xfId="3" applyFont="1" applyFill="1" applyBorder="1" applyAlignment="1">
      <alignment horizontal="center" vertical="center"/>
    </xf>
    <xf numFmtId="180" fontId="15" fillId="4" borderId="21" xfId="3" applyNumberFormat="1" applyFont="1" applyFill="1" applyBorder="1" applyAlignment="1">
      <alignment horizontal="left" vertical="center"/>
    </xf>
    <xf numFmtId="0" fontId="15" fillId="4" borderId="20" xfId="3" applyNumberFormat="1" applyFont="1" applyFill="1" applyBorder="1" applyAlignment="1">
      <alignment horizontal="center" vertical="center" wrapText="1"/>
    </xf>
    <xf numFmtId="0" fontId="24" fillId="0" borderId="0" xfId="6" applyFont="1" applyFill="1" applyAlignment="1">
      <alignment horizontal="centerContinuous" vertical="center"/>
    </xf>
    <xf numFmtId="0" fontId="25" fillId="0" borderId="0" xfId="6" applyFont="1" applyAlignment="1">
      <alignment vertical="center"/>
    </xf>
    <xf numFmtId="0" fontId="25" fillId="0" borderId="0" xfId="6" applyFont="1" applyAlignment="1">
      <alignment horizontal="center" vertical="center"/>
    </xf>
    <xf numFmtId="0" fontId="25" fillId="0" borderId="0" xfId="6" applyFont="1" applyFill="1" applyAlignment="1">
      <alignment vertical="center"/>
    </xf>
    <xf numFmtId="0" fontId="25" fillId="0" borderId="0" xfId="6" applyFont="1" applyFill="1" applyAlignment="1">
      <alignment horizontal="right" vertical="center"/>
    </xf>
    <xf numFmtId="176" fontId="26" fillId="11" borderId="10" xfId="6" applyNumberFormat="1" applyFont="1" applyFill="1" applyBorder="1" applyAlignment="1">
      <alignment vertical="center"/>
    </xf>
    <xf numFmtId="0" fontId="26" fillId="0" borderId="0" xfId="6" applyFont="1" applyFill="1" applyBorder="1" applyAlignment="1">
      <alignment vertical="center"/>
    </xf>
    <xf numFmtId="0" fontId="26" fillId="0" borderId="0" xfId="6" applyFont="1" applyFill="1" applyAlignment="1">
      <alignment vertical="center"/>
    </xf>
    <xf numFmtId="176" fontId="26" fillId="0" borderId="10" xfId="6" applyNumberFormat="1" applyFont="1" applyFill="1" applyBorder="1" applyAlignment="1">
      <alignment vertical="center"/>
    </xf>
    <xf numFmtId="176" fontId="26" fillId="0" borderId="19" xfId="6" applyNumberFormat="1" applyFont="1" applyFill="1" applyBorder="1" applyAlignment="1">
      <alignment vertical="center"/>
    </xf>
    <xf numFmtId="176" fontId="26" fillId="11" borderId="19" xfId="6" applyNumberFormat="1" applyFont="1" applyFill="1" applyBorder="1" applyAlignment="1">
      <alignment vertical="center"/>
    </xf>
    <xf numFmtId="0" fontId="26" fillId="0" borderId="10" xfId="6" applyFont="1" applyFill="1" applyBorder="1" applyAlignment="1">
      <alignment vertical="center"/>
    </xf>
    <xf numFmtId="0" fontId="26" fillId="0" borderId="10" xfId="6" applyNumberFormat="1" applyFont="1" applyFill="1" applyBorder="1" applyAlignment="1">
      <alignment horizontal="center" vertical="center"/>
    </xf>
    <xf numFmtId="0" fontId="26" fillId="0" borderId="10" xfId="6" applyFont="1" applyFill="1" applyBorder="1" applyAlignment="1" applyProtection="1">
      <alignment vertical="center"/>
    </xf>
    <xf numFmtId="0" fontId="26" fillId="0" borderId="10" xfId="6" applyFont="1" applyFill="1" applyBorder="1" applyAlignment="1">
      <alignment horizontal="center" vertical="center"/>
    </xf>
    <xf numFmtId="0" fontId="26" fillId="0" borderId="19" xfId="6" applyFont="1" applyFill="1" applyBorder="1" applyAlignment="1">
      <alignment vertical="center"/>
    </xf>
    <xf numFmtId="0" fontId="26" fillId="0" borderId="19" xfId="6" applyNumberFormat="1" applyFont="1" applyFill="1" applyBorder="1" applyAlignment="1">
      <alignment horizontal="center" vertical="center"/>
    </xf>
    <xf numFmtId="0" fontId="26" fillId="0" borderId="11" xfId="6" applyFont="1" applyFill="1" applyBorder="1" applyAlignment="1">
      <alignment vertical="center"/>
    </xf>
    <xf numFmtId="0" fontId="26" fillId="0" borderId="11" xfId="6" applyNumberFormat="1" applyFont="1" applyFill="1" applyBorder="1" applyAlignment="1">
      <alignment horizontal="center" vertical="center"/>
    </xf>
    <xf numFmtId="176" fontId="26" fillId="0" borderId="11" xfId="6" applyNumberFormat="1" applyFont="1" applyFill="1" applyBorder="1" applyAlignment="1">
      <alignment vertical="center"/>
    </xf>
    <xf numFmtId="0" fontId="26" fillId="0" borderId="12" xfId="6" applyFont="1" applyFill="1" applyBorder="1" applyAlignment="1">
      <alignment vertical="center"/>
    </xf>
    <xf numFmtId="181" fontId="26" fillId="0" borderId="12" xfId="6" applyNumberFormat="1" applyFont="1" applyFill="1" applyBorder="1" applyAlignment="1">
      <alignment vertical="center"/>
    </xf>
    <xf numFmtId="181" fontId="26" fillId="0" borderId="10" xfId="6" applyNumberFormat="1" applyFont="1" applyFill="1" applyBorder="1" applyAlignment="1">
      <alignment vertical="center"/>
    </xf>
    <xf numFmtId="0" fontId="26" fillId="0" borderId="11" xfId="6" applyFont="1" applyFill="1" applyBorder="1" applyAlignment="1">
      <alignment horizontal="center" vertical="center"/>
    </xf>
    <xf numFmtId="181" fontId="26" fillId="0" borderId="11" xfId="6" applyNumberFormat="1" applyFont="1" applyFill="1" applyBorder="1" applyAlignment="1">
      <alignment vertical="center"/>
    </xf>
    <xf numFmtId="0" fontId="26" fillId="6" borderId="19" xfId="7" applyFont="1" applyFill="1" applyBorder="1" applyAlignment="1">
      <alignment horizontal="center" vertical="center"/>
    </xf>
    <xf numFmtId="0" fontId="26" fillId="6" borderId="19" xfId="7" applyFont="1" applyFill="1" applyBorder="1" applyAlignment="1">
      <alignment vertical="center"/>
    </xf>
    <xf numFmtId="181" fontId="26" fillId="6" borderId="19" xfId="7" applyNumberFormat="1" applyFont="1" applyFill="1" applyBorder="1" applyAlignment="1">
      <alignment vertical="center"/>
    </xf>
    <xf numFmtId="0" fontId="26" fillId="0" borderId="10" xfId="7" applyFont="1" applyFill="1" applyBorder="1" applyAlignment="1">
      <alignment horizontal="center" vertical="center"/>
    </xf>
    <xf numFmtId="0" fontId="26" fillId="0" borderId="10" xfId="7" applyFont="1" applyFill="1" applyBorder="1" applyAlignment="1">
      <alignment vertical="center"/>
    </xf>
    <xf numFmtId="181" fontId="26" fillId="0" borderId="10" xfId="7" applyNumberFormat="1" applyFont="1" applyFill="1" applyBorder="1" applyAlignment="1">
      <alignment vertical="center"/>
    </xf>
    <xf numFmtId="181" fontId="26" fillId="0" borderId="8" xfId="7" applyNumberFormat="1" applyFont="1" applyFill="1" applyBorder="1" applyAlignment="1">
      <alignment vertical="center"/>
    </xf>
    <xf numFmtId="0" fontId="30" fillId="6" borderId="7" xfId="7" applyFont="1" applyFill="1" applyBorder="1" applyAlignment="1">
      <alignment horizontal="center" vertical="center"/>
    </xf>
    <xf numFmtId="0" fontId="30" fillId="6" borderId="7" xfId="7" applyFont="1" applyFill="1" applyBorder="1" applyAlignment="1">
      <alignment vertical="center"/>
    </xf>
    <xf numFmtId="181" fontId="30" fillId="6" borderId="7" xfId="7" applyNumberFormat="1" applyFont="1" applyFill="1" applyBorder="1" applyAlignment="1">
      <alignment vertical="center"/>
    </xf>
    <xf numFmtId="181" fontId="30" fillId="6" borderId="31" xfId="7" applyNumberFormat="1" applyFont="1" applyFill="1" applyBorder="1" applyAlignment="1">
      <alignment vertical="center"/>
    </xf>
    <xf numFmtId="176" fontId="30" fillId="6" borderId="7" xfId="7" applyNumberFormat="1" applyFont="1" applyFill="1" applyBorder="1" applyAlignment="1">
      <alignment vertical="center"/>
    </xf>
    <xf numFmtId="176" fontId="30" fillId="6" borderId="31" xfId="7" applyNumberFormat="1" applyFont="1" applyFill="1" applyBorder="1" applyAlignment="1">
      <alignment vertical="center"/>
    </xf>
    <xf numFmtId="176" fontId="26" fillId="0" borderId="10" xfId="7" applyNumberFormat="1" applyFont="1" applyFill="1" applyBorder="1" applyAlignment="1">
      <alignment vertical="center"/>
    </xf>
    <xf numFmtId="176" fontId="26" fillId="0" borderId="8" xfId="7" applyNumberFormat="1" applyFont="1" applyFill="1" applyBorder="1" applyAlignment="1">
      <alignment vertical="center"/>
    </xf>
    <xf numFmtId="176" fontId="25" fillId="0" borderId="0" xfId="6" applyNumberFormat="1" applyFont="1" applyAlignment="1">
      <alignment vertical="center"/>
    </xf>
    <xf numFmtId="0" fontId="26" fillId="0" borderId="12" xfId="7" applyFont="1" applyFill="1" applyBorder="1" applyAlignment="1">
      <alignment horizontal="center" vertical="center"/>
    </xf>
    <xf numFmtId="0" fontId="26" fillId="0" borderId="12" xfId="7" applyFont="1" applyFill="1" applyBorder="1" applyAlignment="1">
      <alignment vertical="center"/>
    </xf>
    <xf numFmtId="176" fontId="26" fillId="0" borderId="12" xfId="7" applyNumberFormat="1" applyFont="1" applyFill="1" applyBorder="1" applyAlignment="1">
      <alignment vertical="center"/>
    </xf>
    <xf numFmtId="176" fontId="26" fillId="0" borderId="13" xfId="7" applyNumberFormat="1" applyFont="1" applyFill="1" applyBorder="1" applyAlignment="1">
      <alignment vertical="center"/>
    </xf>
    <xf numFmtId="0" fontId="26" fillId="12" borderId="7" xfId="6" applyFont="1" applyFill="1" applyBorder="1" applyAlignment="1">
      <alignment horizontal="center" vertical="center"/>
    </xf>
    <xf numFmtId="0" fontId="26" fillId="12" borderId="7" xfId="6" applyFont="1" applyFill="1" applyBorder="1" applyAlignment="1">
      <alignment vertical="center"/>
    </xf>
    <xf numFmtId="176" fontId="26" fillId="12" borderId="7" xfId="8" applyNumberFormat="1" applyFont="1" applyFill="1" applyBorder="1" applyAlignment="1">
      <alignment vertical="center"/>
    </xf>
    <xf numFmtId="0" fontId="26" fillId="12" borderId="19" xfId="6" applyFont="1" applyFill="1" applyBorder="1" applyAlignment="1">
      <alignment horizontal="center" vertical="center"/>
    </xf>
    <xf numFmtId="0" fontId="26" fillId="12" borderId="19" xfId="6" applyFont="1" applyFill="1" applyBorder="1" applyAlignment="1">
      <alignment vertical="center"/>
    </xf>
    <xf numFmtId="182" fontId="26" fillId="12" borderId="19" xfId="8" applyNumberFormat="1" applyFont="1" applyFill="1" applyBorder="1" applyAlignment="1">
      <alignment vertical="center"/>
    </xf>
    <xf numFmtId="0" fontId="26" fillId="6" borderId="7" xfId="7" applyFont="1" applyFill="1" applyBorder="1" applyAlignment="1">
      <alignment horizontal="center" vertical="center"/>
    </xf>
    <xf numFmtId="0" fontId="26" fillId="6" borderId="7" xfId="7" applyFont="1" applyFill="1" applyBorder="1" applyAlignment="1">
      <alignment vertical="center"/>
    </xf>
    <xf numFmtId="181" fontId="26" fillId="6" borderId="7" xfId="7" applyNumberFormat="1" applyFont="1" applyFill="1" applyBorder="1" applyAlignment="1">
      <alignment vertical="center"/>
    </xf>
    <xf numFmtId="176" fontId="26" fillId="6" borderId="7" xfId="7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5" fillId="0" borderId="1" xfId="6" applyFont="1" applyFill="1" applyBorder="1" applyAlignment="1">
      <alignment horizontal="center" vertical="center"/>
    </xf>
    <xf numFmtId="41" fontId="25" fillId="2" borderId="1" xfId="1" applyFont="1" applyFill="1" applyBorder="1" applyAlignment="1">
      <alignment vertical="center"/>
    </xf>
    <xf numFmtId="41" fontId="25" fillId="0" borderId="1" xfId="1" applyFont="1" applyFill="1" applyBorder="1" applyAlignment="1">
      <alignment vertical="center"/>
    </xf>
    <xf numFmtId="41" fontId="25" fillId="0" borderId="1" xfId="1" applyFont="1" applyBorder="1" applyAlignment="1">
      <alignment vertical="center"/>
    </xf>
    <xf numFmtId="0" fontId="26" fillId="13" borderId="3" xfId="6" applyFont="1" applyFill="1" applyBorder="1" applyAlignment="1">
      <alignment horizontal="center" vertical="center"/>
    </xf>
    <xf numFmtId="0" fontId="26" fillId="13" borderId="3" xfId="6" applyFont="1" applyFill="1" applyBorder="1" applyAlignment="1">
      <alignment vertical="center"/>
    </xf>
    <xf numFmtId="176" fontId="26" fillId="13" borderId="3" xfId="8" applyNumberFormat="1" applyFont="1" applyFill="1" applyBorder="1" applyAlignment="1">
      <alignment vertical="center"/>
    </xf>
    <xf numFmtId="0" fontId="26" fillId="13" borderId="10" xfId="6" applyFont="1" applyFill="1" applyBorder="1" applyAlignment="1">
      <alignment horizontal="center" vertical="center"/>
    </xf>
    <xf numFmtId="0" fontId="26" fillId="13" borderId="10" xfId="6" applyFont="1" applyFill="1" applyBorder="1" applyAlignment="1">
      <alignment vertical="center"/>
    </xf>
    <xf numFmtId="176" fontId="26" fillId="13" borderId="10" xfId="8" applyNumberFormat="1" applyFont="1" applyFill="1" applyBorder="1" applyAlignment="1">
      <alignment vertical="center"/>
    </xf>
    <xf numFmtId="0" fontId="26" fillId="0" borderId="0" xfId="6" applyFont="1" applyBorder="1" applyAlignment="1">
      <alignment horizontal="center" vertical="center" textRotation="255"/>
    </xf>
    <xf numFmtId="0" fontId="26" fillId="0" borderId="0" xfId="6" applyFont="1" applyFill="1" applyBorder="1" applyAlignment="1">
      <alignment horizontal="center" vertical="center"/>
    </xf>
    <xf numFmtId="177" fontId="31" fillId="0" borderId="0" xfId="6" applyNumberFormat="1" applyFont="1" applyFill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6" fillId="6" borderId="15" xfId="6" applyFont="1" applyFill="1" applyBorder="1" applyAlignment="1">
      <alignment horizontal="center" vertical="center"/>
    </xf>
    <xf numFmtId="0" fontId="26" fillId="6" borderId="1" xfId="6" applyFont="1" applyFill="1" applyBorder="1" applyAlignment="1">
      <alignment horizontal="center" vertical="center"/>
    </xf>
    <xf numFmtId="0" fontId="26" fillId="0" borderId="19" xfId="6" applyFont="1" applyFill="1" applyBorder="1" applyAlignment="1">
      <alignment horizontal="center" vertical="center"/>
    </xf>
    <xf numFmtId="3" fontId="26" fillId="0" borderId="10" xfId="6" applyNumberFormat="1" applyFont="1" applyFill="1" applyBorder="1" applyAlignment="1">
      <alignment vertical="center"/>
    </xf>
    <xf numFmtId="3" fontId="26" fillId="0" borderId="11" xfId="6" applyNumberFormat="1" applyFont="1" applyFill="1" applyBorder="1" applyAlignment="1">
      <alignment vertical="center"/>
    </xf>
    <xf numFmtId="3" fontId="26" fillId="6" borderId="19" xfId="7" applyNumberFormat="1" applyFont="1" applyFill="1" applyBorder="1" applyAlignment="1">
      <alignment vertical="center"/>
    </xf>
    <xf numFmtId="3" fontId="26" fillId="0" borderId="10" xfId="7" applyNumberFormat="1" applyFont="1" applyFill="1" applyBorder="1" applyAlignment="1">
      <alignment vertical="center"/>
    </xf>
    <xf numFmtId="177" fontId="26" fillId="0" borderId="11" xfId="6" applyNumberFormat="1" applyFont="1" applyFill="1" applyBorder="1" applyAlignment="1">
      <alignment vertical="center"/>
    </xf>
    <xf numFmtId="0" fontId="29" fillId="0" borderId="12" xfId="6" applyFont="1" applyFill="1" applyBorder="1" applyAlignment="1">
      <alignment horizontal="center" vertical="center"/>
    </xf>
    <xf numFmtId="3" fontId="26" fillId="0" borderId="12" xfId="6" applyNumberFormat="1" applyFont="1" applyFill="1" applyBorder="1" applyAlignment="1">
      <alignment vertical="center"/>
    </xf>
    <xf numFmtId="3" fontId="26" fillId="6" borderId="7" xfId="7" applyNumberFormat="1" applyFont="1" applyFill="1" applyBorder="1" applyAlignment="1">
      <alignment vertical="center"/>
    </xf>
    <xf numFmtId="181" fontId="28" fillId="6" borderId="7" xfId="7" applyNumberFormat="1" applyFont="1" applyFill="1" applyBorder="1" applyAlignment="1">
      <alignment vertical="center"/>
    </xf>
    <xf numFmtId="0" fontId="28" fillId="13" borderId="7" xfId="7" applyFont="1" applyFill="1" applyBorder="1" applyAlignment="1">
      <alignment horizontal="center" vertical="center"/>
    </xf>
    <xf numFmtId="0" fontId="28" fillId="13" borderId="7" xfId="7" applyFont="1" applyFill="1" applyBorder="1" applyAlignment="1">
      <alignment vertical="center"/>
    </xf>
    <xf numFmtId="181" fontId="28" fillId="13" borderId="7" xfId="7" applyNumberFormat="1" applyFont="1" applyFill="1" applyBorder="1" applyAlignment="1">
      <alignment vertical="center"/>
    </xf>
    <xf numFmtId="0" fontId="28" fillId="13" borderId="12" xfId="7" applyFont="1" applyFill="1" applyBorder="1" applyAlignment="1">
      <alignment horizontal="center" vertical="center"/>
    </xf>
    <xf numFmtId="0" fontId="28" fillId="13" borderId="12" xfId="7" applyFont="1" applyFill="1" applyBorder="1" applyAlignment="1">
      <alignment vertical="center"/>
    </xf>
    <xf numFmtId="181" fontId="28" fillId="13" borderId="12" xfId="7" applyNumberFormat="1" applyFont="1" applyFill="1" applyBorder="1" applyAlignment="1">
      <alignment vertical="center"/>
    </xf>
    <xf numFmtId="181" fontId="28" fillId="13" borderId="10" xfId="7" applyNumberFormat="1" applyFont="1" applyFill="1" applyBorder="1" applyAlignment="1">
      <alignment vertical="center"/>
    </xf>
    <xf numFmtId="181" fontId="26" fillId="0" borderId="12" xfId="7" applyNumberFormat="1" applyFont="1" applyFill="1" applyBorder="1" applyAlignment="1">
      <alignment vertical="center"/>
    </xf>
    <xf numFmtId="3" fontId="26" fillId="0" borderId="12" xfId="7" applyNumberFormat="1" applyFont="1" applyFill="1" applyBorder="1" applyAlignment="1">
      <alignment vertical="center"/>
    </xf>
    <xf numFmtId="41" fontId="25" fillId="0" borderId="0" xfId="1" applyFont="1" applyAlignment="1">
      <alignment vertical="center"/>
    </xf>
    <xf numFmtId="181" fontId="26" fillId="0" borderId="13" xfId="7" applyNumberFormat="1" applyFont="1" applyFill="1" applyBorder="1" applyAlignment="1">
      <alignment vertical="center"/>
    </xf>
    <xf numFmtId="0" fontId="26" fillId="0" borderId="15" xfId="6" applyFont="1" applyFill="1" applyBorder="1" applyAlignment="1">
      <alignment horizontal="center" vertical="center"/>
    </xf>
    <xf numFmtId="176" fontId="26" fillId="9" borderId="10" xfId="6" applyNumberFormat="1" applyFont="1" applyFill="1" applyBorder="1" applyAlignment="1">
      <alignment vertical="center"/>
    </xf>
    <xf numFmtId="0" fontId="26" fillId="9" borderId="11" xfId="6" applyFont="1" applyFill="1" applyBorder="1" applyAlignment="1">
      <alignment horizontal="center" vertical="center"/>
    </xf>
    <xf numFmtId="184" fontId="26" fillId="9" borderId="10" xfId="6" applyNumberFormat="1" applyFont="1" applyFill="1" applyBorder="1" applyAlignment="1">
      <alignment vertical="center"/>
    </xf>
    <xf numFmtId="0" fontId="26" fillId="9" borderId="4" xfId="6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41" fontId="25" fillId="0" borderId="15" xfId="1" applyFont="1" applyFill="1" applyBorder="1" applyAlignment="1">
      <alignment vertical="center"/>
    </xf>
    <xf numFmtId="183" fontId="0" fillId="9" borderId="1" xfId="1" applyNumberFormat="1" applyFont="1" applyFill="1" applyBorder="1" applyAlignment="1">
      <alignment horizontal="center" vertical="center"/>
    </xf>
    <xf numFmtId="0" fontId="33" fillId="4" borderId="35" xfId="6" applyFont="1" applyFill="1" applyBorder="1" applyAlignment="1">
      <alignment horizontal="center" vertical="center"/>
    </xf>
    <xf numFmtId="183" fontId="33" fillId="4" borderId="36" xfId="1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25" fillId="0" borderId="1" xfId="6" applyNumberFormat="1" applyFont="1" applyBorder="1" applyAlignment="1">
      <alignment vertical="center"/>
    </xf>
    <xf numFmtId="41" fontId="25" fillId="0" borderId="1" xfId="6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7" fontId="0" fillId="0" borderId="1" xfId="11" applyNumberFormat="1" applyFont="1" applyFill="1" applyBorder="1">
      <alignment vertical="center"/>
    </xf>
    <xf numFmtId="41" fontId="0" fillId="0" borderId="0" xfId="0" applyNumberFormat="1">
      <alignment vertical="center"/>
    </xf>
    <xf numFmtId="177" fontId="0" fillId="3" borderId="1" xfId="11" applyNumberFormat="1" applyFont="1" applyFill="1" applyBorder="1">
      <alignment vertical="center"/>
    </xf>
    <xf numFmtId="41" fontId="0" fillId="9" borderId="1" xfId="1" applyFont="1" applyFill="1" applyBorder="1">
      <alignment vertical="center"/>
    </xf>
    <xf numFmtId="41" fontId="0" fillId="0" borderId="0" xfId="1" applyFont="1">
      <alignment vertical="center"/>
    </xf>
    <xf numFmtId="0" fontId="0" fillId="0" borderId="0" xfId="0" applyBorder="1">
      <alignment vertical="center"/>
    </xf>
    <xf numFmtId="41" fontId="0" fillId="4" borderId="1" xfId="1" applyFont="1" applyFill="1" applyBorder="1">
      <alignment vertical="center"/>
    </xf>
    <xf numFmtId="0" fontId="0" fillId="2" borderId="1" xfId="0" applyFill="1" applyBorder="1" applyAlignment="1">
      <alignment vertical="center" shrinkToFit="1"/>
    </xf>
    <xf numFmtId="41" fontId="0" fillId="4" borderId="1" xfId="1" applyNumberFormat="1" applyFont="1" applyFill="1" applyBorder="1">
      <alignment vertical="center"/>
    </xf>
    <xf numFmtId="41" fontId="0" fillId="8" borderId="1" xfId="1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41" fontId="0" fillId="0" borderId="0" xfId="1" applyFont="1" applyFill="1" applyBorder="1">
      <alignment vertical="center"/>
    </xf>
    <xf numFmtId="0" fontId="0" fillId="0" borderId="0" xfId="0" applyFill="1">
      <alignment vertical="center"/>
    </xf>
    <xf numFmtId="0" fontId="4" fillId="0" borderId="0" xfId="0" applyFont="1" applyFill="1" applyBorder="1" applyAlignment="1">
      <alignment horizontal="center" vertical="center"/>
    </xf>
    <xf numFmtId="0" fontId="44" fillId="4" borderId="0" xfId="0" applyFont="1" applyFill="1">
      <alignment vertical="center"/>
    </xf>
    <xf numFmtId="0" fontId="0" fillId="4" borderId="0" xfId="0" applyFill="1">
      <alignment vertical="center"/>
    </xf>
    <xf numFmtId="0" fontId="12" fillId="0" borderId="0" xfId="2" applyFont="1" applyFill="1" applyAlignment="1">
      <alignment vertical="center"/>
    </xf>
    <xf numFmtId="41" fontId="12" fillId="14" borderId="7" xfId="3" applyFont="1" applyFill="1" applyBorder="1" applyAlignment="1">
      <alignment horizontal="center" vertical="center"/>
    </xf>
    <xf numFmtId="0" fontId="26" fillId="14" borderId="19" xfId="6" applyFont="1" applyFill="1" applyBorder="1" applyAlignment="1">
      <alignment horizontal="center" vertical="center"/>
    </xf>
    <xf numFmtId="176" fontId="26" fillId="14" borderId="19" xfId="6" applyNumberFormat="1" applyFont="1" applyFill="1" applyBorder="1" applyAlignment="1">
      <alignment vertical="center"/>
    </xf>
    <xf numFmtId="176" fontId="26" fillId="14" borderId="10" xfId="6" applyNumberFormat="1" applyFont="1" applyFill="1" applyBorder="1" applyAlignment="1">
      <alignment vertical="center"/>
    </xf>
    <xf numFmtId="184" fontId="26" fillId="14" borderId="10" xfId="6" applyNumberFormat="1" applyFont="1" applyFill="1" applyBorder="1" applyAlignment="1">
      <alignment vertical="center"/>
    </xf>
    <xf numFmtId="41" fontId="45" fillId="14" borderId="7" xfId="1" applyFont="1" applyFill="1" applyBorder="1" applyAlignment="1">
      <alignment vertical="center"/>
    </xf>
    <xf numFmtId="41" fontId="45" fillId="14" borderId="12" xfId="1" applyFont="1" applyFill="1" applyBorder="1" applyAlignment="1">
      <alignment vertical="center"/>
    </xf>
    <xf numFmtId="41" fontId="45" fillId="6" borderId="1" xfId="1" applyFont="1" applyFill="1" applyBorder="1" applyAlignment="1">
      <alignment vertical="center"/>
    </xf>
    <xf numFmtId="41" fontId="45" fillId="14" borderId="19" xfId="1" applyFont="1" applyFill="1" applyBorder="1" applyAlignment="1">
      <alignment vertical="center"/>
    </xf>
    <xf numFmtId="41" fontId="45" fillId="14" borderId="10" xfId="1" applyFont="1" applyFill="1" applyBorder="1" applyAlignment="1">
      <alignment vertical="center"/>
    </xf>
    <xf numFmtId="176" fontId="45" fillId="14" borderId="10" xfId="3" applyNumberFormat="1" applyFont="1" applyFill="1" applyBorder="1" applyAlignment="1">
      <alignment vertical="center"/>
    </xf>
    <xf numFmtId="176" fontId="45" fillId="14" borderId="12" xfId="3" applyNumberFormat="1" applyFont="1" applyFill="1" applyBorder="1" applyAlignment="1">
      <alignment vertical="center"/>
    </xf>
    <xf numFmtId="41" fontId="45" fillId="0" borderId="7" xfId="1" applyFont="1" applyFill="1" applyBorder="1" applyAlignment="1">
      <alignment vertical="center"/>
    </xf>
    <xf numFmtId="41" fontId="45" fillId="0" borderId="12" xfId="1" applyFont="1" applyFill="1" applyBorder="1" applyAlignment="1">
      <alignment vertical="center"/>
    </xf>
    <xf numFmtId="41" fontId="45" fillId="0" borderId="19" xfId="1" applyFont="1" applyFill="1" applyBorder="1" applyAlignment="1">
      <alignment vertical="center"/>
    </xf>
    <xf numFmtId="41" fontId="45" fillId="0" borderId="10" xfId="1" applyFont="1" applyFill="1" applyBorder="1" applyAlignment="1">
      <alignment vertical="center"/>
    </xf>
    <xf numFmtId="176" fontId="0" fillId="0" borderId="0" xfId="0" applyNumberFormat="1">
      <alignment vertical="center"/>
    </xf>
    <xf numFmtId="176" fontId="25" fillId="0" borderId="0" xfId="6" applyNumberFormat="1" applyFont="1" applyFill="1" applyAlignment="1">
      <alignment vertical="center"/>
    </xf>
    <xf numFmtId="0" fontId="12" fillId="0" borderId="3" xfId="3" applyNumberFormat="1" applyFont="1" applyFill="1" applyBorder="1" applyAlignment="1">
      <alignment horizontal="center" vertical="center"/>
    </xf>
    <xf numFmtId="41" fontId="12" fillId="0" borderId="39" xfId="3" applyFont="1" applyFill="1" applyBorder="1" applyAlignment="1">
      <alignment horizontal="center" vertical="center"/>
    </xf>
    <xf numFmtId="41" fontId="12" fillId="0" borderId="40" xfId="3" applyFont="1" applyFill="1" applyBorder="1" applyAlignment="1">
      <alignment horizontal="center" vertical="center"/>
    </xf>
    <xf numFmtId="41" fontId="12" fillId="0" borderId="41" xfId="3" applyFont="1" applyFill="1" applyBorder="1" applyAlignment="1">
      <alignment horizontal="center" vertical="center"/>
    </xf>
    <xf numFmtId="0" fontId="12" fillId="0" borderId="1" xfId="3" applyNumberFormat="1" applyFont="1" applyFill="1" applyBorder="1" applyAlignment="1">
      <alignment horizontal="center" vertical="center"/>
    </xf>
    <xf numFmtId="0" fontId="16" fillId="0" borderId="1" xfId="3" applyNumberFormat="1" applyFont="1" applyFill="1" applyBorder="1" applyAlignment="1">
      <alignment horizontal="center" vertical="center"/>
    </xf>
    <xf numFmtId="0" fontId="15" fillId="4" borderId="47" xfId="3" applyNumberFormat="1" applyFont="1" applyFill="1" applyBorder="1" applyAlignment="1">
      <alignment horizontal="center" vertical="center" wrapText="1"/>
    </xf>
    <xf numFmtId="0" fontId="15" fillId="10" borderId="1" xfId="3" applyNumberFormat="1" applyFont="1" applyFill="1" applyBorder="1" applyAlignment="1">
      <alignment horizontal="center" vertical="center"/>
    </xf>
    <xf numFmtId="0" fontId="16" fillId="0" borderId="4" xfId="3" applyNumberFormat="1" applyFont="1" applyFill="1" applyBorder="1" applyAlignment="1">
      <alignment horizontal="right" vertical="center"/>
    </xf>
    <xf numFmtId="41" fontId="15" fillId="3" borderId="1" xfId="3" applyFont="1" applyFill="1" applyBorder="1" applyAlignment="1">
      <alignment horizontal="center" vertical="center"/>
    </xf>
    <xf numFmtId="0" fontId="15" fillId="3" borderId="3" xfId="3" applyNumberFormat="1" applyFont="1" applyFill="1" applyBorder="1" applyAlignment="1">
      <alignment horizontal="center" vertical="center"/>
    </xf>
    <xf numFmtId="0" fontId="46" fillId="3" borderId="4" xfId="3" applyNumberFormat="1" applyFont="1" applyFill="1" applyBorder="1" applyAlignment="1">
      <alignment horizontal="right" vertical="center"/>
    </xf>
    <xf numFmtId="179" fontId="46" fillId="3" borderId="1" xfId="3" applyNumberFormat="1" applyFont="1" applyFill="1" applyBorder="1" applyAlignment="1">
      <alignment horizontal="right" vertical="center"/>
    </xf>
    <xf numFmtId="179" fontId="16" fillId="0" borderId="11" xfId="3" applyNumberFormat="1" applyFont="1" applyFill="1" applyBorder="1" applyAlignment="1">
      <alignment horizontal="right" vertical="center"/>
    </xf>
    <xf numFmtId="41" fontId="15" fillId="3" borderId="7" xfId="3" applyFont="1" applyFill="1" applyBorder="1" applyAlignment="1">
      <alignment horizontal="center" vertical="center"/>
    </xf>
    <xf numFmtId="0" fontId="46" fillId="16" borderId="19" xfId="3" applyNumberFormat="1" applyFont="1" applyFill="1" applyBorder="1" applyAlignment="1">
      <alignment horizontal="right" vertical="center"/>
    </xf>
    <xf numFmtId="179" fontId="46" fillId="16" borderId="10" xfId="3" applyNumberFormat="1" applyFont="1" applyFill="1" applyBorder="1" applyAlignment="1">
      <alignment horizontal="right" vertical="center"/>
    </xf>
    <xf numFmtId="41" fontId="15" fillId="16" borderId="10" xfId="3" applyFont="1" applyFill="1" applyBorder="1" applyAlignment="1">
      <alignment horizontal="center" vertical="center"/>
    </xf>
    <xf numFmtId="0" fontId="46" fillId="16" borderId="15" xfId="3" applyNumberFormat="1" applyFont="1" applyFill="1" applyBorder="1" applyAlignment="1">
      <alignment horizontal="right" vertical="center"/>
    </xf>
    <xf numFmtId="179" fontId="46" fillId="16" borderId="12" xfId="3" applyNumberFormat="1" applyFont="1" applyFill="1" applyBorder="1" applyAlignment="1">
      <alignment horizontal="right" vertical="center"/>
    </xf>
    <xf numFmtId="41" fontId="15" fillId="16" borderId="12" xfId="3" applyFont="1" applyFill="1" applyBorder="1" applyAlignment="1">
      <alignment horizontal="center" vertical="center"/>
    </xf>
    <xf numFmtId="0" fontId="12" fillId="0" borderId="49" xfId="3" applyNumberFormat="1" applyFont="1" applyFill="1" applyBorder="1" applyAlignment="1">
      <alignment horizontal="center" vertical="center"/>
    </xf>
    <xf numFmtId="0" fontId="46" fillId="3" borderId="50" xfId="3" applyNumberFormat="1" applyFont="1" applyFill="1" applyBorder="1" applyAlignment="1">
      <alignment horizontal="right" vertical="center"/>
    </xf>
    <xf numFmtId="179" fontId="46" fillId="3" borderId="42" xfId="3" applyNumberFormat="1" applyFont="1" applyFill="1" applyBorder="1" applyAlignment="1">
      <alignment horizontal="right" vertical="center"/>
    </xf>
    <xf numFmtId="41" fontId="15" fillId="3" borderId="43" xfId="3" applyFont="1" applyFill="1" applyBorder="1" applyAlignment="1">
      <alignment horizontal="center" vertical="center"/>
    </xf>
    <xf numFmtId="178" fontId="15" fillId="14" borderId="21" xfId="3" applyNumberFormat="1" applyFont="1" applyFill="1" applyBorder="1" applyAlignment="1">
      <alignment horizontal="center" vertical="center"/>
    </xf>
    <xf numFmtId="178" fontId="17" fillId="0" borderId="0" xfId="3" applyNumberFormat="1" applyFont="1" applyFill="1" applyAlignment="1">
      <alignment horizontal="center" vertical="center"/>
    </xf>
    <xf numFmtId="178" fontId="15" fillId="0" borderId="0" xfId="3" applyNumberFormat="1" applyFont="1" applyFill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25" fillId="0" borderId="1" xfId="6" applyNumberFormat="1" applyFont="1" applyFill="1" applyBorder="1" applyAlignment="1">
      <alignment horizontal="right" vertical="center"/>
    </xf>
    <xf numFmtId="0" fontId="25" fillId="0" borderId="1" xfId="6" applyFont="1" applyBorder="1" applyAlignment="1">
      <alignment horizontal="center" vertical="center"/>
    </xf>
    <xf numFmtId="176" fontId="25" fillId="0" borderId="1" xfId="6" applyNumberFormat="1" applyFont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right" vertical="center"/>
    </xf>
    <xf numFmtId="176" fontId="33" fillId="0" borderId="1" xfId="6" applyNumberFormat="1" applyFont="1" applyBorder="1" applyAlignment="1">
      <alignment horizontal="center" vertical="center"/>
    </xf>
    <xf numFmtId="176" fontId="33" fillId="0" borderId="1" xfId="6" applyNumberFormat="1" applyFont="1" applyFill="1" applyBorder="1" applyAlignment="1">
      <alignment horizontal="center" vertical="center"/>
    </xf>
    <xf numFmtId="0" fontId="33" fillId="0" borderId="0" xfId="6" applyFont="1" applyAlignment="1">
      <alignment vertical="center"/>
    </xf>
    <xf numFmtId="41" fontId="15" fillId="0" borderId="1" xfId="3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3" fillId="0" borderId="1" xfId="6" applyFont="1" applyFill="1" applyBorder="1" applyAlignment="1">
      <alignment horizontal="center" vertical="center"/>
    </xf>
    <xf numFmtId="176" fontId="33" fillId="0" borderId="1" xfId="6" applyNumberFormat="1" applyFont="1" applyBorder="1" applyAlignment="1">
      <alignment horizontal="right" vertical="center"/>
    </xf>
    <xf numFmtId="41" fontId="15" fillId="16" borderId="1" xfId="3" applyFont="1" applyFill="1" applyBorder="1" applyAlignment="1">
      <alignment horizontal="center" vertical="center"/>
    </xf>
    <xf numFmtId="0" fontId="46" fillId="16" borderId="1" xfId="3" applyNumberFormat="1" applyFont="1" applyFill="1" applyBorder="1" applyAlignment="1">
      <alignment horizontal="center" vertical="center"/>
    </xf>
    <xf numFmtId="41" fontId="15" fillId="14" borderId="7" xfId="3" applyFont="1" applyFill="1" applyBorder="1" applyAlignment="1">
      <alignment horizontal="center" vertical="center"/>
    </xf>
    <xf numFmtId="41" fontId="48" fillId="14" borderId="7" xfId="3" applyFont="1" applyFill="1" applyBorder="1" applyAlignment="1">
      <alignment horizontal="center" vertical="center"/>
    </xf>
    <xf numFmtId="185" fontId="46" fillId="16" borderId="1" xfId="3" applyNumberFormat="1" applyFont="1" applyFill="1" applyBorder="1" applyAlignment="1">
      <alignment horizontal="right" vertical="center"/>
    </xf>
    <xf numFmtId="41" fontId="48" fillId="0" borderId="7" xfId="3" applyFont="1" applyFill="1" applyBorder="1" applyAlignment="1">
      <alignment horizontal="center" vertical="center"/>
    </xf>
    <xf numFmtId="176" fontId="0" fillId="0" borderId="0" xfId="0" applyNumberFormat="1" applyFill="1">
      <alignment vertical="center"/>
    </xf>
    <xf numFmtId="0" fontId="47" fillId="0" borderId="1" xfId="0" applyFont="1" applyFill="1" applyBorder="1" applyAlignment="1">
      <alignment horizontal="center" vertical="center"/>
    </xf>
    <xf numFmtId="176" fontId="49" fillId="14" borderId="1" xfId="0" applyNumberFormat="1" applyFont="1" applyFill="1" applyBorder="1" applyAlignment="1">
      <alignment horizontal="right" vertical="center"/>
    </xf>
    <xf numFmtId="176" fontId="50" fillId="14" borderId="1" xfId="6" applyNumberFormat="1" applyFont="1" applyFill="1" applyBorder="1" applyAlignment="1">
      <alignment horizontal="right" vertical="center"/>
    </xf>
    <xf numFmtId="41" fontId="15" fillId="0" borderId="5" xfId="3" applyFont="1" applyFill="1" applyBorder="1" applyAlignment="1">
      <alignment horizontal="center" vertical="center"/>
    </xf>
    <xf numFmtId="41" fontId="15" fillId="3" borderId="5" xfId="3" applyFont="1" applyFill="1" applyBorder="1" applyAlignment="1">
      <alignment horizontal="center" vertical="center"/>
    </xf>
    <xf numFmtId="41" fontId="51" fillId="0" borderId="1" xfId="6" applyNumberFormat="1" applyFont="1" applyBorder="1" applyAlignment="1">
      <alignment vertical="center"/>
    </xf>
    <xf numFmtId="177" fontId="52" fillId="0" borderId="1" xfId="11" applyNumberFormat="1" applyFont="1" applyBorder="1" applyAlignment="1">
      <alignment horizontal="center" vertical="center"/>
    </xf>
    <xf numFmtId="177" fontId="15" fillId="0" borderId="1" xfId="11" applyNumberFormat="1" applyFont="1" applyFill="1" applyBorder="1" applyAlignment="1">
      <alignment horizontal="center" vertical="center"/>
    </xf>
    <xf numFmtId="177" fontId="15" fillId="3" borderId="1" xfId="11" applyNumberFormat="1" applyFont="1" applyFill="1" applyBorder="1" applyAlignment="1">
      <alignment horizontal="center" vertical="center"/>
    </xf>
    <xf numFmtId="176" fontId="48" fillId="14" borderId="1" xfId="3" applyNumberFormat="1" applyFont="1" applyFill="1" applyBorder="1" applyAlignment="1">
      <alignment horizontal="right" vertical="center" shrinkToFit="1"/>
    </xf>
    <xf numFmtId="41" fontId="15" fillId="4" borderId="10" xfId="3" applyFont="1" applyFill="1" applyBorder="1" applyAlignment="1">
      <alignment horizontal="center" vertical="center"/>
    </xf>
    <xf numFmtId="41" fontId="15" fillId="4" borderId="41" xfId="3" applyFont="1" applyFill="1" applyBorder="1" applyAlignment="1">
      <alignment horizontal="center" vertical="center"/>
    </xf>
    <xf numFmtId="186" fontId="0" fillId="0" borderId="1" xfId="0" applyNumberFormat="1" applyFill="1" applyBorder="1" applyAlignment="1">
      <alignment horizontal="center" vertical="center"/>
    </xf>
    <xf numFmtId="185" fontId="0" fillId="0" borderId="0" xfId="0" applyNumberFormat="1">
      <alignment vertical="center"/>
    </xf>
    <xf numFmtId="0" fontId="15" fillId="10" borderId="1" xfId="3" applyNumberFormat="1" applyFont="1" applyFill="1" applyBorder="1" applyAlignment="1">
      <alignment horizontal="center" vertical="center"/>
    </xf>
    <xf numFmtId="0" fontId="15" fillId="0" borderId="0" xfId="3" applyNumberFormat="1" applyFont="1" applyFill="1" applyBorder="1" applyAlignment="1">
      <alignment horizontal="center" vertical="center" wrapText="1"/>
    </xf>
    <xf numFmtId="180" fontId="15" fillId="0" borderId="0" xfId="3" applyNumberFormat="1" applyFont="1" applyFill="1" applyBorder="1" applyAlignment="1">
      <alignment horizontal="left" vertical="center"/>
    </xf>
    <xf numFmtId="41" fontId="17" fillId="3" borderId="5" xfId="3" applyFont="1" applyFill="1" applyBorder="1" applyAlignment="1">
      <alignment vertical="center"/>
    </xf>
    <xf numFmtId="41" fontId="17" fillId="3" borderId="5" xfId="3" applyFont="1" applyFill="1" applyBorder="1" applyAlignment="1">
      <alignment horizontal="center" vertical="center"/>
    </xf>
    <xf numFmtId="0" fontId="26" fillId="0" borderId="4" xfId="6" applyFont="1" applyFill="1" applyBorder="1" applyAlignment="1">
      <alignment horizontal="center" vertical="center"/>
    </xf>
    <xf numFmtId="187" fontId="15" fillId="4" borderId="21" xfId="3" applyNumberFormat="1" applyFont="1" applyFill="1" applyBorder="1" applyAlignment="1">
      <alignment horizontal="left" vertical="center"/>
    </xf>
    <xf numFmtId="41" fontId="12" fillId="14" borderId="1" xfId="3" applyFont="1" applyFill="1" applyBorder="1" applyAlignment="1">
      <alignment horizontal="center" vertical="center"/>
    </xf>
    <xf numFmtId="177" fontId="26" fillId="0" borderId="11" xfId="11" applyNumberFormat="1" applyFont="1" applyFill="1" applyBorder="1" applyAlignment="1">
      <alignment vertical="center"/>
    </xf>
    <xf numFmtId="180" fontId="15" fillId="4" borderId="21" xfId="3" applyNumberFormat="1" applyFont="1" applyFill="1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0" fontId="25" fillId="0" borderId="3" xfId="6" applyFont="1" applyFill="1" applyBorder="1" applyAlignment="1">
      <alignment horizontal="center" vertical="center"/>
    </xf>
    <xf numFmtId="0" fontId="25" fillId="14" borderId="4" xfId="6" applyFont="1" applyFill="1" applyBorder="1" applyAlignment="1">
      <alignment horizontal="center" vertical="center"/>
    </xf>
    <xf numFmtId="176" fontId="0" fillId="14" borderId="4" xfId="0" applyNumberFormat="1" applyFill="1" applyBorder="1" applyAlignment="1">
      <alignment horizontal="right" vertical="center"/>
    </xf>
    <xf numFmtId="176" fontId="25" fillId="14" borderId="4" xfId="6" applyNumberFormat="1" applyFont="1" applyFill="1" applyBorder="1" applyAlignment="1">
      <alignment horizontal="right" vertical="center"/>
    </xf>
    <xf numFmtId="176" fontId="33" fillId="4" borderId="0" xfId="6" applyNumberFormat="1" applyFont="1" applyFill="1" applyAlignment="1">
      <alignment vertical="center"/>
    </xf>
    <xf numFmtId="176" fontId="25" fillId="0" borderId="1" xfId="6" applyNumberFormat="1" applyFont="1" applyFill="1" applyBorder="1" applyAlignment="1">
      <alignment vertical="center"/>
    </xf>
    <xf numFmtId="0" fontId="26" fillId="0" borderId="12" xfId="6" applyNumberFormat="1" applyFont="1" applyFill="1" applyBorder="1" applyAlignment="1">
      <alignment horizontal="center" vertical="center"/>
    </xf>
    <xf numFmtId="176" fontId="26" fillId="0" borderId="12" xfId="6" applyNumberFormat="1" applyFont="1" applyFill="1" applyBorder="1" applyAlignment="1">
      <alignment vertical="center"/>
    </xf>
    <xf numFmtId="176" fontId="26" fillId="11" borderId="12" xfId="6" applyNumberFormat="1" applyFont="1" applyFill="1" applyBorder="1" applyAlignment="1">
      <alignment vertical="center"/>
    </xf>
    <xf numFmtId="181" fontId="26" fillId="0" borderId="19" xfId="6" applyNumberFormat="1" applyFont="1" applyFill="1" applyBorder="1" applyAlignment="1">
      <alignment vertical="center"/>
    </xf>
    <xf numFmtId="3" fontId="26" fillId="0" borderId="19" xfId="6" applyNumberFormat="1" applyFont="1" applyFill="1" applyBorder="1" applyAlignment="1">
      <alignment vertical="center"/>
    </xf>
    <xf numFmtId="0" fontId="54" fillId="6" borderId="51" xfId="6" applyFont="1" applyFill="1" applyBorder="1" applyAlignment="1">
      <alignment horizontal="center" vertical="center"/>
    </xf>
    <xf numFmtId="3" fontId="54" fillId="6" borderId="52" xfId="6" applyNumberFormat="1" applyFont="1" applyFill="1" applyBorder="1" applyAlignment="1">
      <alignment vertical="center"/>
    </xf>
    <xf numFmtId="176" fontId="54" fillId="6" borderId="52" xfId="6" applyNumberFormat="1" applyFont="1" applyFill="1" applyBorder="1" applyAlignment="1">
      <alignment vertical="center"/>
    </xf>
    <xf numFmtId="41" fontId="53" fillId="4" borderId="1" xfId="6" applyNumberFormat="1" applyFont="1" applyFill="1" applyBorder="1" applyAlignment="1">
      <alignment vertical="center"/>
    </xf>
    <xf numFmtId="0" fontId="33" fillId="0" borderId="1" xfId="6" applyFont="1" applyFill="1" applyBorder="1" applyAlignment="1">
      <alignment vertical="center"/>
    </xf>
    <xf numFmtId="0" fontId="26" fillId="0" borderId="4" xfId="6" applyFont="1" applyFill="1" applyBorder="1" applyAlignment="1">
      <alignment vertical="center"/>
    </xf>
    <xf numFmtId="181" fontId="26" fillId="15" borderId="4" xfId="6" applyNumberFormat="1" applyFont="1" applyFill="1" applyBorder="1" applyAlignment="1">
      <alignment vertical="center"/>
    </xf>
    <xf numFmtId="3" fontId="26" fillId="15" borderId="4" xfId="6" applyNumberFormat="1" applyFont="1" applyFill="1" applyBorder="1" applyAlignment="1">
      <alignment vertical="center"/>
    </xf>
    <xf numFmtId="0" fontId="54" fillId="6" borderId="52" xfId="6" applyFont="1" applyFill="1" applyBorder="1" applyAlignment="1">
      <alignment vertical="center"/>
    </xf>
    <xf numFmtId="176" fontId="5" fillId="0" borderId="1" xfId="1" applyNumberFormat="1" applyFont="1" applyFill="1" applyBorder="1">
      <alignment vertical="center"/>
    </xf>
    <xf numFmtId="176" fontId="25" fillId="0" borderId="1" xfId="1" applyNumberFormat="1" applyFont="1" applyFill="1" applyBorder="1" applyAlignment="1">
      <alignment vertical="center"/>
    </xf>
    <xf numFmtId="176" fontId="5" fillId="0" borderId="1" xfId="0" applyNumberFormat="1" applyFont="1" applyFill="1" applyBorder="1">
      <alignment vertical="center"/>
    </xf>
    <xf numFmtId="176" fontId="33" fillId="0" borderId="1" xfId="6" applyNumberFormat="1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6" fontId="5" fillId="2" borderId="1" xfId="1" applyNumberFormat="1" applyFont="1" applyFill="1" applyBorder="1">
      <alignment vertical="center"/>
    </xf>
    <xf numFmtId="176" fontId="25" fillId="2" borderId="1" xfId="1" applyNumberFormat="1" applyFont="1" applyFill="1" applyBorder="1" applyAlignment="1">
      <alignment vertical="center"/>
    </xf>
    <xf numFmtId="0" fontId="47" fillId="0" borderId="51" xfId="0" applyFont="1" applyBorder="1" applyAlignment="1">
      <alignment horizontal="center" vertical="center"/>
    </xf>
    <xf numFmtId="176" fontId="47" fillId="0" borderId="52" xfId="0" applyNumberFormat="1" applyFont="1" applyBorder="1" applyAlignment="1">
      <alignment horizontal="right" vertical="center"/>
    </xf>
    <xf numFmtId="176" fontId="33" fillId="0" borderId="53" xfId="6" applyNumberFormat="1" applyFont="1" applyFill="1" applyBorder="1" applyAlignment="1">
      <alignment horizontal="right" vertical="center"/>
    </xf>
    <xf numFmtId="176" fontId="33" fillId="9" borderId="4" xfId="6" applyNumberFormat="1" applyFont="1" applyFill="1" applyBorder="1" applyAlignment="1">
      <alignment horizontal="right" vertical="center"/>
    </xf>
    <xf numFmtId="176" fontId="33" fillId="6" borderId="53" xfId="6" applyNumberFormat="1" applyFont="1" applyFill="1" applyBorder="1" applyAlignment="1">
      <alignment vertical="center"/>
    </xf>
    <xf numFmtId="3" fontId="30" fillId="6" borderId="53" xfId="6" applyNumberFormat="1" applyFont="1" applyFill="1" applyBorder="1" applyAlignment="1">
      <alignment vertical="center"/>
    </xf>
    <xf numFmtId="176" fontId="49" fillId="2" borderId="1" xfId="0" applyNumberFormat="1" applyFont="1" applyFill="1" applyBorder="1" applyAlignment="1">
      <alignment horizontal="right" vertical="center"/>
    </xf>
    <xf numFmtId="177" fontId="49" fillId="2" borderId="1" xfId="11" applyNumberFormat="1" applyFont="1" applyFill="1" applyBorder="1" applyAlignment="1">
      <alignment horizontal="right" vertical="center"/>
    </xf>
    <xf numFmtId="177" fontId="33" fillId="0" borderId="1" xfId="11" applyNumberFormat="1" applyFont="1" applyBorder="1" applyAlignment="1">
      <alignment horizontal="right" vertical="center"/>
    </xf>
    <xf numFmtId="41" fontId="15" fillId="0" borderId="0" xfId="3" applyFont="1" applyFill="1" applyAlignment="1">
      <alignment horizontal="left" vertical="center"/>
    </xf>
    <xf numFmtId="188" fontId="15" fillId="0" borderId="0" xfId="3" applyNumberFormat="1" applyFont="1" applyFill="1" applyAlignment="1">
      <alignment horizontal="right" vertical="center"/>
    </xf>
    <xf numFmtId="189" fontId="0" fillId="0" borderId="0" xfId="0" applyNumberFormat="1" applyAlignment="1">
      <alignment vertical="center" shrinkToFit="1"/>
    </xf>
    <xf numFmtId="189" fontId="0" fillId="0" borderId="0" xfId="0" applyNumberFormat="1">
      <alignment vertical="center"/>
    </xf>
    <xf numFmtId="190" fontId="15" fillId="0" borderId="0" xfId="3" applyNumberFormat="1" applyFont="1" applyFill="1" applyAlignment="1">
      <alignment horizontal="center" vertical="center"/>
    </xf>
    <xf numFmtId="0" fontId="15" fillId="10" borderId="1" xfId="3" applyNumberFormat="1" applyFont="1" applyFill="1" applyBorder="1" applyAlignment="1">
      <alignment horizontal="center" vertical="center"/>
    </xf>
    <xf numFmtId="179" fontId="0" fillId="0" borderId="17" xfId="0" applyNumberFormat="1" applyBorder="1">
      <alignment vertical="center"/>
    </xf>
    <xf numFmtId="179" fontId="55" fillId="4" borderId="18" xfId="0" applyNumberFormat="1" applyFont="1" applyFill="1" applyBorder="1">
      <alignment vertical="center"/>
    </xf>
    <xf numFmtId="41" fontId="12" fillId="0" borderId="37" xfId="3" applyFont="1" applyFill="1" applyBorder="1" applyAlignment="1">
      <alignment horizontal="center" vertical="center"/>
    </xf>
    <xf numFmtId="177" fontId="0" fillId="0" borderId="0" xfId="11" applyNumberFormat="1" applyFont="1">
      <alignment vertical="center"/>
    </xf>
    <xf numFmtId="0" fontId="16" fillId="0" borderId="37" xfId="3" applyNumberFormat="1" applyFont="1" applyFill="1" applyBorder="1" applyAlignment="1">
      <alignment horizontal="right" vertical="center"/>
    </xf>
    <xf numFmtId="179" fontId="16" fillId="0" borderId="54" xfId="3" applyNumberFormat="1" applyFont="1" applyFill="1" applyBorder="1" applyAlignment="1">
      <alignment horizontal="right" vertical="center"/>
    </xf>
    <xf numFmtId="0" fontId="12" fillId="0" borderId="56" xfId="3" applyNumberFormat="1" applyFont="1" applyFill="1" applyBorder="1" applyAlignment="1">
      <alignment horizontal="center" vertical="center"/>
    </xf>
    <xf numFmtId="41" fontId="12" fillId="0" borderId="57" xfId="3" applyFont="1" applyFill="1" applyBorder="1" applyAlignment="1">
      <alignment horizontal="center" vertical="center"/>
    </xf>
    <xf numFmtId="41" fontId="12" fillId="0" borderId="58" xfId="3" applyFont="1" applyFill="1" applyBorder="1" applyAlignment="1">
      <alignment horizontal="center" vertical="center"/>
    </xf>
    <xf numFmtId="41" fontId="12" fillId="0" borderId="59" xfId="3" applyFont="1" applyFill="1" applyBorder="1" applyAlignment="1">
      <alignment horizontal="center" vertical="center"/>
    </xf>
    <xf numFmtId="41" fontId="15" fillId="4" borderId="61" xfId="3" applyFont="1" applyFill="1" applyBorder="1" applyAlignment="1">
      <alignment horizontal="center" vertical="center"/>
    </xf>
    <xf numFmtId="0" fontId="46" fillId="16" borderId="63" xfId="3" applyNumberFormat="1" applyFont="1" applyFill="1" applyBorder="1" applyAlignment="1">
      <alignment horizontal="right" vertical="center"/>
    </xf>
    <xf numFmtId="179" fontId="46" fillId="16" borderId="64" xfId="3" applyNumberFormat="1" applyFont="1" applyFill="1" applyBorder="1" applyAlignment="1">
      <alignment horizontal="right" vertical="center"/>
    </xf>
    <xf numFmtId="179" fontId="46" fillId="16" borderId="65" xfId="3" applyNumberFormat="1" applyFont="1" applyFill="1" applyBorder="1" applyAlignment="1">
      <alignment horizontal="right" vertical="center"/>
    </xf>
    <xf numFmtId="41" fontId="15" fillId="16" borderId="66" xfId="3" applyFont="1" applyFill="1" applyBorder="1" applyAlignment="1">
      <alignment horizontal="center" vertical="center"/>
    </xf>
    <xf numFmtId="0" fontId="4" fillId="0" borderId="67" xfId="0" applyFont="1" applyBorder="1">
      <alignment vertical="center"/>
    </xf>
    <xf numFmtId="0" fontId="12" fillId="0" borderId="68" xfId="3" applyNumberFormat="1" applyFont="1" applyFill="1" applyBorder="1" applyAlignment="1">
      <alignment horizontal="center" vertical="center"/>
    </xf>
    <xf numFmtId="41" fontId="12" fillId="0" borderId="69" xfId="3" applyFont="1" applyFill="1" applyBorder="1" applyAlignment="1">
      <alignment horizontal="center" vertical="center"/>
    </xf>
    <xf numFmtId="41" fontId="12" fillId="0" borderId="70" xfId="3" applyFont="1" applyFill="1" applyBorder="1" applyAlignment="1">
      <alignment horizontal="center" vertical="center"/>
    </xf>
    <xf numFmtId="41" fontId="12" fillId="0" borderId="71" xfId="3" applyFont="1" applyFill="1" applyBorder="1" applyAlignment="1">
      <alignment horizontal="center" vertical="center"/>
    </xf>
    <xf numFmtId="179" fontId="0" fillId="0" borderId="70" xfId="0" applyNumberFormat="1" applyBorder="1">
      <alignment vertical="center"/>
    </xf>
    <xf numFmtId="179" fontId="55" fillId="4" borderId="71" xfId="0" applyNumberFormat="1" applyFont="1" applyFill="1" applyBorder="1">
      <alignment vertical="center"/>
    </xf>
    <xf numFmtId="3" fontId="0" fillId="0" borderId="0" xfId="0" applyNumberFormat="1">
      <alignment vertical="center"/>
    </xf>
    <xf numFmtId="3" fontId="56" fillId="0" borderId="73" xfId="0" applyNumberFormat="1" applyFont="1" applyBorder="1" applyAlignment="1">
      <alignment horizontal="right" vertical="center" wrapText="1"/>
    </xf>
    <xf numFmtId="3" fontId="56" fillId="0" borderId="74" xfId="0" applyNumberFormat="1" applyFont="1" applyBorder="1" applyAlignment="1">
      <alignment horizontal="right" vertical="center" wrapText="1"/>
    </xf>
    <xf numFmtId="10" fontId="56" fillId="0" borderId="75" xfId="0" applyNumberFormat="1" applyFont="1" applyBorder="1" applyAlignment="1">
      <alignment horizontal="right" vertical="center" wrapText="1"/>
    </xf>
    <xf numFmtId="3" fontId="56" fillId="0" borderId="76" xfId="0" applyNumberFormat="1" applyFont="1" applyBorder="1" applyAlignment="1">
      <alignment horizontal="right" vertical="center" wrapText="1"/>
    </xf>
    <xf numFmtId="3" fontId="56" fillId="0" borderId="77" xfId="0" applyNumberFormat="1" applyFont="1" applyBorder="1" applyAlignment="1">
      <alignment horizontal="right" vertical="center" wrapText="1"/>
    </xf>
    <xf numFmtId="10" fontId="56" fillId="0" borderId="78" xfId="0" applyNumberFormat="1" applyFont="1" applyBorder="1" applyAlignment="1">
      <alignment horizontal="right" vertical="center" wrapText="1"/>
    </xf>
    <xf numFmtId="3" fontId="57" fillId="17" borderId="76" xfId="0" applyNumberFormat="1" applyFont="1" applyFill="1" applyBorder="1" applyAlignment="1">
      <alignment horizontal="right" vertical="center" wrapText="1"/>
    </xf>
    <xf numFmtId="3" fontId="57" fillId="17" borderId="77" xfId="0" applyNumberFormat="1" applyFont="1" applyFill="1" applyBorder="1" applyAlignment="1">
      <alignment horizontal="right" vertical="center" wrapText="1"/>
    </xf>
    <xf numFmtId="10" fontId="57" fillId="17" borderId="78" xfId="0" applyNumberFormat="1" applyFont="1" applyFill="1" applyBorder="1" applyAlignment="1">
      <alignment horizontal="right" vertical="center" wrapText="1"/>
    </xf>
    <xf numFmtId="0" fontId="58" fillId="0" borderId="76" xfId="0" applyFont="1" applyBorder="1" applyAlignment="1">
      <alignment horizontal="right" vertical="center" wrapText="1"/>
    </xf>
    <xf numFmtId="0" fontId="58" fillId="0" borderId="78" xfId="0" applyFont="1" applyBorder="1" applyAlignment="1">
      <alignment horizontal="right" vertical="center" wrapText="1"/>
    </xf>
    <xf numFmtId="10" fontId="0" fillId="0" borderId="0" xfId="11" applyNumberFormat="1" applyFont="1">
      <alignment vertical="center"/>
    </xf>
    <xf numFmtId="3" fontId="59" fillId="0" borderId="77" xfId="0" applyNumberFormat="1" applyFont="1" applyBorder="1" applyAlignment="1">
      <alignment horizontal="right" vertical="center" wrapText="1"/>
    </xf>
    <xf numFmtId="10" fontId="59" fillId="0" borderId="78" xfId="0" applyNumberFormat="1" applyFont="1" applyBorder="1" applyAlignment="1">
      <alignment horizontal="right" vertical="center" wrapText="1"/>
    </xf>
    <xf numFmtId="3" fontId="60" fillId="17" borderId="77" xfId="0" applyNumberFormat="1" applyFont="1" applyFill="1" applyBorder="1" applyAlignment="1">
      <alignment horizontal="right" vertical="center" wrapText="1"/>
    </xf>
    <xf numFmtId="10" fontId="60" fillId="17" borderId="78" xfId="0" applyNumberFormat="1" applyFont="1" applyFill="1" applyBorder="1" applyAlignment="1">
      <alignment horizontal="right" vertical="center" wrapText="1"/>
    </xf>
    <xf numFmtId="41" fontId="61" fillId="0" borderId="0" xfId="3" applyFont="1" applyFill="1" applyAlignment="1">
      <alignment horizontal="center" vertical="center"/>
    </xf>
    <xf numFmtId="41" fontId="10" fillId="0" borderId="0" xfId="1" applyFont="1" applyFill="1" applyAlignment="1">
      <alignment vertical="center"/>
    </xf>
    <xf numFmtId="9" fontId="10" fillId="0" borderId="0" xfId="10" applyFont="1" applyFill="1" applyAlignment="1">
      <alignment vertical="center"/>
    </xf>
    <xf numFmtId="187" fontId="15" fillId="4" borderId="48" xfId="3" applyNumberFormat="1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0" fillId="2" borderId="1" xfId="1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5" fillId="10" borderId="1" xfId="3" applyNumberFormat="1" applyFont="1" applyFill="1" applyBorder="1" applyAlignment="1">
      <alignment horizontal="center" vertical="center"/>
    </xf>
    <xf numFmtId="0" fontId="46" fillId="3" borderId="1" xfId="3" applyNumberFormat="1" applyFont="1" applyFill="1" applyBorder="1" applyAlignment="1">
      <alignment horizontal="center" vertical="center"/>
    </xf>
    <xf numFmtId="0" fontId="46" fillId="0" borderId="1" xfId="3" applyNumberFormat="1" applyFont="1" applyFill="1" applyBorder="1" applyAlignment="1">
      <alignment horizontal="center" vertical="center"/>
    </xf>
    <xf numFmtId="0" fontId="15" fillId="10" borderId="5" xfId="3" applyNumberFormat="1" applyFont="1" applyFill="1" applyBorder="1" applyAlignment="1">
      <alignment horizontal="center" vertical="center"/>
    </xf>
    <xf numFmtId="0" fontId="15" fillId="10" borderId="26" xfId="3" applyNumberFormat="1" applyFont="1" applyFill="1" applyBorder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/>
    </xf>
    <xf numFmtId="0" fontId="46" fillId="0" borderId="15" xfId="3" applyNumberFormat="1" applyFont="1" applyFill="1" applyBorder="1" applyAlignment="1">
      <alignment horizontal="center" vertical="center"/>
    </xf>
    <xf numFmtId="0" fontId="46" fillId="0" borderId="4" xfId="3" applyNumberFormat="1" applyFont="1" applyFill="1" applyBorder="1" applyAlignment="1">
      <alignment horizontal="center" vertical="center"/>
    </xf>
    <xf numFmtId="0" fontId="46" fillId="3" borderId="44" xfId="3" applyNumberFormat="1" applyFont="1" applyFill="1" applyBorder="1" applyAlignment="1">
      <alignment horizontal="center" vertical="center"/>
    </xf>
    <xf numFmtId="0" fontId="46" fillId="3" borderId="45" xfId="3" applyNumberFormat="1" applyFont="1" applyFill="1" applyBorder="1" applyAlignment="1">
      <alignment horizontal="center" vertical="center"/>
    </xf>
    <xf numFmtId="0" fontId="46" fillId="3" borderId="46" xfId="3" applyNumberFormat="1" applyFont="1" applyFill="1" applyBorder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 wrapText="1"/>
    </xf>
    <xf numFmtId="0" fontId="46" fillId="0" borderId="55" xfId="3" applyNumberFormat="1" applyFont="1" applyFill="1" applyBorder="1" applyAlignment="1">
      <alignment horizontal="center" vertical="center" wrapText="1"/>
    </xf>
    <xf numFmtId="0" fontId="46" fillId="0" borderId="60" xfId="3" applyNumberFormat="1" applyFont="1" applyFill="1" applyBorder="1" applyAlignment="1">
      <alignment horizontal="center" vertical="center"/>
    </xf>
    <xf numFmtId="0" fontId="46" fillId="0" borderId="62" xfId="3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9" fillId="14" borderId="20" xfId="2" applyNumberFormat="1" applyFont="1" applyFill="1" applyBorder="1" applyAlignment="1">
      <alignment horizontal="center" vertical="center"/>
    </xf>
    <xf numFmtId="43" fontId="9" fillId="14" borderId="29" xfId="2" applyNumberFormat="1" applyFont="1" applyFill="1" applyBorder="1" applyAlignment="1">
      <alignment horizontal="center" vertical="center"/>
    </xf>
    <xf numFmtId="43" fontId="9" fillId="14" borderId="21" xfId="2" applyNumberFormat="1" applyFont="1" applyFill="1" applyBorder="1" applyAlignment="1">
      <alignment horizontal="center" vertical="center"/>
    </xf>
    <xf numFmtId="0" fontId="10" fillId="6" borderId="3" xfId="2" applyFont="1" applyFill="1" applyBorder="1" applyAlignment="1">
      <alignment horizontal="center" vertical="center"/>
    </xf>
    <xf numFmtId="0" fontId="10" fillId="6" borderId="4" xfId="2" applyFont="1" applyFill="1" applyBorder="1" applyAlignment="1">
      <alignment horizontal="center" vertical="center"/>
    </xf>
    <xf numFmtId="0" fontId="10" fillId="7" borderId="3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/>
    </xf>
    <xf numFmtId="43" fontId="9" fillId="4" borderId="20" xfId="2" applyNumberFormat="1" applyFont="1" applyFill="1" applyBorder="1" applyAlignment="1">
      <alignment horizontal="center" vertical="center"/>
    </xf>
    <xf numFmtId="43" fontId="9" fillId="4" borderId="29" xfId="2" applyNumberFormat="1" applyFont="1" applyFill="1" applyBorder="1" applyAlignment="1">
      <alignment horizontal="center" vertical="center"/>
    </xf>
    <xf numFmtId="43" fontId="9" fillId="4" borderId="21" xfId="2" applyNumberFormat="1" applyFont="1" applyFill="1" applyBorder="1" applyAlignment="1">
      <alignment horizontal="center" vertical="center"/>
    </xf>
    <xf numFmtId="0" fontId="26" fillId="6" borderId="19" xfId="6" applyFont="1" applyFill="1" applyBorder="1" applyAlignment="1">
      <alignment horizontal="center" vertical="center" wrapText="1"/>
    </xf>
    <xf numFmtId="0" fontId="26" fillId="6" borderId="11" xfId="6" applyFont="1" applyFill="1" applyBorder="1" applyAlignment="1">
      <alignment horizontal="center" vertical="center" wrapText="1"/>
    </xf>
    <xf numFmtId="0" fontId="26" fillId="6" borderId="34" xfId="6" applyFont="1" applyFill="1" applyBorder="1" applyAlignment="1">
      <alignment horizontal="center" vertical="center"/>
    </xf>
    <xf numFmtId="0" fontId="26" fillId="6" borderId="30" xfId="6" applyFont="1" applyFill="1" applyBorder="1" applyAlignment="1">
      <alignment horizontal="center" vertical="center"/>
    </xf>
    <xf numFmtId="0" fontId="26" fillId="6" borderId="33" xfId="6" applyFont="1" applyFill="1" applyBorder="1" applyAlignment="1">
      <alignment horizontal="center" vertical="center"/>
    </xf>
    <xf numFmtId="0" fontId="26" fillId="6" borderId="28" xfId="6" applyFont="1" applyFill="1" applyBorder="1" applyAlignment="1">
      <alignment horizontal="center" vertical="center"/>
    </xf>
    <xf numFmtId="0" fontId="26" fillId="6" borderId="5" xfId="6" applyFont="1" applyFill="1" applyBorder="1" applyAlignment="1">
      <alignment horizontal="center" vertical="center"/>
    </xf>
    <xf numFmtId="0" fontId="26" fillId="6" borderId="26" xfId="6" applyFont="1" applyFill="1" applyBorder="1" applyAlignment="1">
      <alignment horizontal="center" vertical="center"/>
    </xf>
    <xf numFmtId="0" fontId="26" fillId="6" borderId="6" xfId="6" applyFont="1" applyFill="1" applyBorder="1" applyAlignment="1">
      <alignment horizontal="center" vertical="center"/>
    </xf>
    <xf numFmtId="0" fontId="26" fillId="0" borderId="15" xfId="6" applyFont="1" applyFill="1" applyBorder="1" applyAlignment="1">
      <alignment horizontal="center" vertical="center"/>
    </xf>
    <xf numFmtId="0" fontId="26" fillId="0" borderId="4" xfId="6" applyFont="1" applyFill="1" applyBorder="1" applyAlignment="1">
      <alignment horizontal="center" vertical="center"/>
    </xf>
    <xf numFmtId="0" fontId="26" fillId="0" borderId="15" xfId="6" applyFont="1" applyFill="1" applyBorder="1" applyAlignment="1">
      <alignment horizontal="center" vertical="center" wrapText="1"/>
    </xf>
    <xf numFmtId="0" fontId="26" fillId="0" borderId="4" xfId="6" applyFont="1" applyFill="1" applyBorder="1" applyAlignment="1">
      <alignment horizontal="center" vertical="center" wrapText="1"/>
    </xf>
    <xf numFmtId="0" fontId="26" fillId="0" borderId="22" xfId="6" applyFont="1" applyBorder="1" applyAlignment="1">
      <alignment horizontal="center" vertical="center" textRotation="255"/>
    </xf>
    <xf numFmtId="0" fontId="26" fillId="0" borderId="15" xfId="6" applyFont="1" applyBorder="1" applyAlignment="1">
      <alignment horizontal="center" vertical="center" textRotation="255"/>
    </xf>
    <xf numFmtId="0" fontId="26" fillId="0" borderId="4" xfId="6" applyFont="1" applyBorder="1" applyAlignment="1">
      <alignment horizontal="center" vertical="center" textRotation="255"/>
    </xf>
    <xf numFmtId="0" fontId="26" fillId="0" borderId="3" xfId="6" applyFont="1" applyBorder="1" applyAlignment="1">
      <alignment horizontal="center" vertical="center" textRotation="255"/>
    </xf>
    <xf numFmtId="0" fontId="26" fillId="6" borderId="31" xfId="6" applyFont="1" applyFill="1" applyBorder="1" applyAlignment="1">
      <alignment horizontal="center" vertical="center"/>
    </xf>
    <xf numFmtId="0" fontId="26" fillId="6" borderId="32" xfId="6" applyFont="1" applyFill="1" applyBorder="1" applyAlignment="1">
      <alignment horizontal="center" vertical="center"/>
    </xf>
    <xf numFmtId="193" fontId="15" fillId="14" borderId="0" xfId="3" applyNumberFormat="1" applyFont="1" applyFill="1" applyAlignment="1">
      <alignment horizontal="center" vertical="center"/>
    </xf>
  </cellXfs>
  <cellStyles count="12">
    <cellStyle name="백분율" xfId="11" builtinId="5"/>
    <cellStyle name="백분율 2" xfId="5" xr:uid="{00000000-0005-0000-0000-000001000000}"/>
    <cellStyle name="백분율 3" xfId="10" xr:uid="{00000000-0005-0000-0000-000002000000}"/>
    <cellStyle name="쉼표 [0]" xfId="1" builtinId="6"/>
    <cellStyle name="쉼표 [0] 2" xfId="3" xr:uid="{00000000-0005-0000-0000-000004000000}"/>
    <cellStyle name="쉼표 [0] 3" xfId="8" xr:uid="{00000000-0005-0000-0000-000005000000}"/>
    <cellStyle name="콤마(0)_임원회의자료(현황자료)0628" xfId="2" xr:uid="{00000000-0005-0000-0000-000006000000}"/>
    <cellStyle name="표준" xfId="0" builtinId="0"/>
    <cellStyle name="표준 2" xfId="4" xr:uid="{00000000-0005-0000-0000-000008000000}"/>
    <cellStyle name="표준 2 2" xfId="6" xr:uid="{00000000-0005-0000-0000-000009000000}"/>
    <cellStyle name="표준 3" xfId="9" xr:uid="{00000000-0005-0000-0000-00000A000000}"/>
    <cellStyle name="표준_Book1" xfId="7" xr:uid="{00000000-0005-0000-0000-00000B000000}"/>
  </cellStyles>
  <dxfs count="29"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45"/>
  <sheetViews>
    <sheetView zoomScale="85" zoomScaleNormal="85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O28" sqref="O28"/>
    </sheetView>
  </sheetViews>
  <sheetFormatPr defaultRowHeight="16.5" x14ac:dyDescent="0.3"/>
  <cols>
    <col min="1" max="1" width="15.25" customWidth="1"/>
    <col min="2" max="2" width="7.25" customWidth="1"/>
    <col min="3" max="15" width="16.375" customWidth="1"/>
    <col min="16" max="16" width="15.625" bestFit="1" customWidth="1"/>
    <col min="17" max="17" width="3.125" customWidth="1"/>
  </cols>
  <sheetData>
    <row r="1" spans="1:18" ht="33.75" customHeight="1" thickBot="1" x14ac:dyDescent="0.35">
      <c r="A1" s="1" t="s">
        <v>25</v>
      </c>
      <c r="B1" s="1"/>
      <c r="F1" s="2" t="s">
        <v>1</v>
      </c>
    </row>
    <row r="3" spans="1:18" x14ac:dyDescent="0.3">
      <c r="A3" s="5" t="s">
        <v>344</v>
      </c>
      <c r="B3" s="5"/>
    </row>
    <row r="4" spans="1:18" x14ac:dyDescent="0.3">
      <c r="A4" s="395" t="s">
        <v>3</v>
      </c>
      <c r="B4" s="396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 t="s">
        <v>14</v>
      </c>
    </row>
    <row r="5" spans="1:18" x14ac:dyDescent="0.3">
      <c r="A5" s="393" t="s">
        <v>26</v>
      </c>
      <c r="B5" s="394"/>
      <c r="C5" s="8">
        <v>3144</v>
      </c>
      <c r="D5" s="8">
        <v>2356</v>
      </c>
      <c r="E5" s="8">
        <v>2424</v>
      </c>
      <c r="F5" s="8">
        <v>4160</v>
      </c>
      <c r="G5" s="8">
        <v>4095</v>
      </c>
      <c r="H5" s="8">
        <v>2928</v>
      </c>
      <c r="I5" s="8">
        <v>2187</v>
      </c>
      <c r="J5" s="8">
        <v>2466</v>
      </c>
      <c r="K5" s="8">
        <v>2412</v>
      </c>
      <c r="L5" s="8">
        <v>2443</v>
      </c>
      <c r="M5" s="8">
        <v>2935</v>
      </c>
      <c r="N5" s="8">
        <v>4016</v>
      </c>
      <c r="O5" s="9">
        <f>SUM(C5:N5)</f>
        <v>35566</v>
      </c>
    </row>
    <row r="6" spans="1:18" x14ac:dyDescent="0.3">
      <c r="A6" s="395" t="s">
        <v>27</v>
      </c>
      <c r="B6" s="396"/>
      <c r="C6" s="7">
        <f>C5</f>
        <v>3144</v>
      </c>
      <c r="D6" s="7">
        <f t="shared" ref="D6:N6" si="0">C6+D5</f>
        <v>5500</v>
      </c>
      <c r="E6" s="7">
        <f t="shared" si="0"/>
        <v>7924</v>
      </c>
      <c r="F6" s="7">
        <f t="shared" si="0"/>
        <v>12084</v>
      </c>
      <c r="G6" s="7">
        <f t="shared" si="0"/>
        <v>16179</v>
      </c>
      <c r="H6" s="7">
        <f t="shared" si="0"/>
        <v>19107</v>
      </c>
      <c r="I6" s="7">
        <f t="shared" si="0"/>
        <v>21294</v>
      </c>
      <c r="J6" s="7">
        <f t="shared" si="0"/>
        <v>23760</v>
      </c>
      <c r="K6" s="7">
        <f t="shared" si="0"/>
        <v>26172</v>
      </c>
      <c r="L6" s="7">
        <f t="shared" si="0"/>
        <v>28615</v>
      </c>
      <c r="M6" s="7">
        <f t="shared" si="0"/>
        <v>31550</v>
      </c>
      <c r="N6" s="7">
        <f t="shared" si="0"/>
        <v>35566</v>
      </c>
      <c r="O6" s="9">
        <f>N6</f>
        <v>35566</v>
      </c>
    </row>
    <row r="7" spans="1:18" x14ac:dyDescent="0.3">
      <c r="A7" s="393" t="s">
        <v>21</v>
      </c>
      <c r="B7" s="394"/>
      <c r="C7" s="8">
        <v>168431283</v>
      </c>
      <c r="D7" s="8">
        <v>133092425</v>
      </c>
      <c r="E7" s="8">
        <v>120958338</v>
      </c>
      <c r="F7" s="8">
        <v>66900416</v>
      </c>
      <c r="G7" s="8">
        <v>56313203</v>
      </c>
      <c r="H7" s="8">
        <v>47949001</v>
      </c>
      <c r="I7" s="8">
        <v>48263208</v>
      </c>
      <c r="J7" s="8">
        <v>44234358</v>
      </c>
      <c r="K7" s="8">
        <v>42671369</v>
      </c>
      <c r="L7" s="8">
        <v>56594621</v>
      </c>
      <c r="M7" s="8">
        <v>90787759</v>
      </c>
      <c r="N7" s="8">
        <v>154556947</v>
      </c>
      <c r="O7" s="9">
        <f>SUM(C7:N7)</f>
        <v>1030752928</v>
      </c>
      <c r="P7" s="38"/>
    </row>
    <row r="8" spans="1:18" x14ac:dyDescent="0.3">
      <c r="A8" s="395" t="s">
        <v>28</v>
      </c>
      <c r="B8" s="396"/>
      <c r="C8" s="7">
        <f>C7</f>
        <v>168431283</v>
      </c>
      <c r="D8" s="7">
        <f t="shared" ref="D8:N8" si="1">C8+D7</f>
        <v>301523708</v>
      </c>
      <c r="E8" s="7">
        <f t="shared" si="1"/>
        <v>422482046</v>
      </c>
      <c r="F8" s="7">
        <f t="shared" si="1"/>
        <v>489382462</v>
      </c>
      <c r="G8" s="7">
        <f t="shared" si="1"/>
        <v>545695665</v>
      </c>
      <c r="H8" s="7">
        <f t="shared" si="1"/>
        <v>593644666</v>
      </c>
      <c r="I8" s="7">
        <f t="shared" si="1"/>
        <v>641907874</v>
      </c>
      <c r="J8" s="7">
        <f t="shared" si="1"/>
        <v>686142232</v>
      </c>
      <c r="K8" s="7">
        <f t="shared" si="1"/>
        <v>728813601</v>
      </c>
      <c r="L8" s="7">
        <f>K8+L7</f>
        <v>785408222</v>
      </c>
      <c r="M8" s="7">
        <f t="shared" si="1"/>
        <v>876195981</v>
      </c>
      <c r="N8" s="7">
        <f t="shared" si="1"/>
        <v>1030752928</v>
      </c>
      <c r="O8" s="9">
        <f>N8</f>
        <v>1030752928</v>
      </c>
    </row>
    <row r="9" spans="1:18" x14ac:dyDescent="0.3">
      <c r="A9" s="393" t="s">
        <v>22</v>
      </c>
      <c r="B9" s="394"/>
      <c r="C9" s="8">
        <v>7178986.6950000003</v>
      </c>
      <c r="D9" s="8">
        <v>5704248.9680000003</v>
      </c>
      <c r="E9" s="8">
        <v>5193238.1550000003</v>
      </c>
      <c r="F9" s="8">
        <v>2859457.9470000002</v>
      </c>
      <c r="G9" s="8">
        <v>2399133.1230000001</v>
      </c>
      <c r="H9" s="8">
        <v>2034030.044</v>
      </c>
      <c r="I9" s="8">
        <v>2054227.9839999999</v>
      </c>
      <c r="J9" s="8">
        <v>1881625.3470000001</v>
      </c>
      <c r="K9" s="8">
        <v>1825384.1839999999</v>
      </c>
      <c r="L9" s="8">
        <v>2408950.6850000001</v>
      </c>
      <c r="M9" s="8">
        <v>3879263.716</v>
      </c>
      <c r="N9" s="8">
        <v>6619427.5590000004</v>
      </c>
      <c r="O9" s="9">
        <f>SUM(C9:N9)</f>
        <v>44037974.406999998</v>
      </c>
    </row>
    <row r="10" spans="1:18" x14ac:dyDescent="0.3">
      <c r="A10" s="395" t="s">
        <v>29</v>
      </c>
      <c r="B10" s="396"/>
      <c r="C10" s="7">
        <f>C9</f>
        <v>7178986.6950000003</v>
      </c>
      <c r="D10" s="7">
        <f t="shared" ref="D10:N10" si="2">C10+D9</f>
        <v>12883235.663000001</v>
      </c>
      <c r="E10" s="7">
        <f t="shared" si="2"/>
        <v>18076473.818</v>
      </c>
      <c r="F10" s="7">
        <f t="shared" si="2"/>
        <v>20935931.765000001</v>
      </c>
      <c r="G10" s="7">
        <f t="shared" si="2"/>
        <v>23335064.888</v>
      </c>
      <c r="H10" s="7">
        <f t="shared" si="2"/>
        <v>25369094.932</v>
      </c>
      <c r="I10" s="7">
        <f t="shared" si="2"/>
        <v>27423322.916000001</v>
      </c>
      <c r="J10" s="7">
        <f t="shared" si="2"/>
        <v>29304948.263</v>
      </c>
      <c r="K10" s="7">
        <f t="shared" si="2"/>
        <v>31130332.447000001</v>
      </c>
      <c r="L10" s="7">
        <f t="shared" si="2"/>
        <v>33539283.131999999</v>
      </c>
      <c r="M10" s="7">
        <f t="shared" si="2"/>
        <v>37418546.847999997</v>
      </c>
      <c r="N10" s="7">
        <f t="shared" si="2"/>
        <v>44037974.406999998</v>
      </c>
      <c r="O10" s="9">
        <f>N10</f>
        <v>44037974.406999998</v>
      </c>
    </row>
    <row r="11" spans="1:18" x14ac:dyDescent="0.3">
      <c r="C11" s="346">
        <f t="shared" ref="C11:N11" si="3">ROUND(C9*1000,0)</f>
        <v>7178986695</v>
      </c>
      <c r="D11" s="346">
        <f t="shared" si="3"/>
        <v>5704248968</v>
      </c>
      <c r="E11" s="346">
        <f t="shared" si="3"/>
        <v>5193238155</v>
      </c>
      <c r="F11" s="346">
        <f t="shared" si="3"/>
        <v>2859457947</v>
      </c>
      <c r="G11" s="346">
        <f t="shared" si="3"/>
        <v>2399133123</v>
      </c>
      <c r="H11" s="346">
        <f t="shared" si="3"/>
        <v>2034030044</v>
      </c>
      <c r="I11" s="346">
        <f t="shared" si="3"/>
        <v>2054227984</v>
      </c>
      <c r="J11" s="346">
        <f t="shared" si="3"/>
        <v>1881625347</v>
      </c>
      <c r="K11" s="346">
        <f t="shared" si="3"/>
        <v>1825384184</v>
      </c>
      <c r="L11" s="346">
        <f t="shared" si="3"/>
        <v>2408950685</v>
      </c>
      <c r="M11" s="346">
        <f t="shared" si="3"/>
        <v>3879263716</v>
      </c>
      <c r="N11" s="346">
        <f t="shared" si="3"/>
        <v>6619427559</v>
      </c>
      <c r="O11" s="347">
        <f>SUM(C11:N11)</f>
        <v>44037974407</v>
      </c>
    </row>
    <row r="13" spans="1:18" x14ac:dyDescent="0.3">
      <c r="A13" s="5" t="s">
        <v>345</v>
      </c>
      <c r="B13" s="5"/>
    </row>
    <row r="14" spans="1:18" x14ac:dyDescent="0.3">
      <c r="A14" s="395" t="s">
        <v>0</v>
      </c>
      <c r="B14" s="396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 t="s">
        <v>46</v>
      </c>
      <c r="P14" s="3" t="s">
        <v>45</v>
      </c>
    </row>
    <row r="15" spans="1:18" x14ac:dyDescent="0.3">
      <c r="A15" s="393" t="s">
        <v>31</v>
      </c>
      <c r="B15" s="394"/>
      <c r="C15" s="8">
        <v>2893</v>
      </c>
      <c r="D15" s="8">
        <v>2174</v>
      </c>
      <c r="E15" s="8">
        <v>1562</v>
      </c>
      <c r="F15" s="8">
        <v>1172</v>
      </c>
      <c r="G15" s="8">
        <v>1423</v>
      </c>
      <c r="H15" s="8">
        <v>1541</v>
      </c>
      <c r="I15" s="8">
        <v>1406</v>
      </c>
      <c r="J15" s="8">
        <v>1661</v>
      </c>
      <c r="K15" s="8">
        <v>1846</v>
      </c>
      <c r="L15" s="8">
        <v>1495</v>
      </c>
      <c r="M15" s="8">
        <v>1497</v>
      </c>
      <c r="N15" s="8">
        <v>1624</v>
      </c>
      <c r="O15" s="8">
        <v>20294</v>
      </c>
      <c r="P15" s="9">
        <f>SUM(C15:N15)</f>
        <v>20294</v>
      </c>
      <c r="R15" t="b">
        <f>O15=P15</f>
        <v>1</v>
      </c>
    </row>
    <row r="16" spans="1:18" x14ac:dyDescent="0.3">
      <c r="A16" s="395" t="s">
        <v>30</v>
      </c>
      <c r="B16" s="396"/>
      <c r="C16" s="7">
        <f>C15</f>
        <v>2893</v>
      </c>
      <c r="D16" s="7">
        <f t="shared" ref="D16" si="4">C16+D15</f>
        <v>5067</v>
      </c>
      <c r="E16" s="7">
        <f t="shared" ref="E16" si="5">D16+E15</f>
        <v>6629</v>
      </c>
      <c r="F16" s="7">
        <f t="shared" ref="F16" si="6">E16+F15</f>
        <v>7801</v>
      </c>
      <c r="G16" s="7">
        <f t="shared" ref="G16" si="7">F16+G15</f>
        <v>9224</v>
      </c>
      <c r="H16" s="7">
        <f t="shared" ref="H16" si="8">G16+H15</f>
        <v>10765</v>
      </c>
      <c r="I16" s="7">
        <f t="shared" ref="I16" si="9">H16+I15</f>
        <v>12171</v>
      </c>
      <c r="J16" s="7">
        <f t="shared" ref="J16" si="10">I16+J15</f>
        <v>13832</v>
      </c>
      <c r="K16" s="7">
        <f t="shared" ref="K16" si="11">J16+K15</f>
        <v>15678</v>
      </c>
      <c r="L16" s="7">
        <f t="shared" ref="L16" si="12">K16+L15</f>
        <v>17173</v>
      </c>
      <c r="M16" s="7">
        <f t="shared" ref="M16" si="13">L16+M15</f>
        <v>18670</v>
      </c>
      <c r="N16" s="7">
        <f t="shared" ref="N16" si="14">M16+N15</f>
        <v>20294</v>
      </c>
      <c r="O16" s="7">
        <f>N16</f>
        <v>20294</v>
      </c>
      <c r="P16" s="9"/>
    </row>
    <row r="17" spans="1:18" x14ac:dyDescent="0.3">
      <c r="A17" s="393" t="s">
        <v>32</v>
      </c>
      <c r="B17" s="394"/>
      <c r="C17" s="8">
        <v>3040</v>
      </c>
      <c r="D17" s="8">
        <v>2263</v>
      </c>
      <c r="E17" s="8">
        <v>1608</v>
      </c>
      <c r="F17" s="8">
        <v>1204</v>
      </c>
      <c r="G17" s="8">
        <v>1492</v>
      </c>
      <c r="H17" s="8">
        <v>1583</v>
      </c>
      <c r="I17" s="8">
        <v>1444</v>
      </c>
      <c r="J17" s="8">
        <v>1690</v>
      </c>
      <c r="K17" s="8">
        <v>1864</v>
      </c>
      <c r="L17" s="8">
        <v>1524</v>
      </c>
      <c r="M17" s="8">
        <v>1535</v>
      </c>
      <c r="N17" s="8">
        <v>1748</v>
      </c>
      <c r="O17" s="8">
        <v>20995</v>
      </c>
      <c r="P17" s="9">
        <f>SUM(C17:N17)</f>
        <v>20995</v>
      </c>
      <c r="R17" t="b">
        <f>O17=P17</f>
        <v>1</v>
      </c>
    </row>
    <row r="18" spans="1:18" x14ac:dyDescent="0.3">
      <c r="A18" s="395" t="s">
        <v>30</v>
      </c>
      <c r="B18" s="396"/>
      <c r="C18" s="7">
        <f>C17</f>
        <v>3040</v>
      </c>
      <c r="D18" s="7">
        <f t="shared" ref="D18" si="15">C18+D17</f>
        <v>5303</v>
      </c>
      <c r="E18" s="7">
        <f t="shared" ref="E18" si="16">D18+E17</f>
        <v>6911</v>
      </c>
      <c r="F18" s="7">
        <f t="shared" ref="F18" si="17">E18+F17</f>
        <v>8115</v>
      </c>
      <c r="G18" s="7">
        <f t="shared" ref="G18" si="18">F18+G17</f>
        <v>9607</v>
      </c>
      <c r="H18" s="7">
        <f t="shared" ref="H18" si="19">G18+H17</f>
        <v>11190</v>
      </c>
      <c r="I18" s="7">
        <f t="shared" ref="I18" si="20">H18+I17</f>
        <v>12634</v>
      </c>
      <c r="J18" s="7">
        <f t="shared" ref="J18" si="21">I18+J17</f>
        <v>14324</v>
      </c>
      <c r="K18" s="7">
        <f t="shared" ref="K18" si="22">J18+K17</f>
        <v>16188</v>
      </c>
      <c r="L18" s="7">
        <f t="shared" ref="L18" si="23">K18+L17</f>
        <v>17712</v>
      </c>
      <c r="M18" s="7">
        <f t="shared" ref="M18" si="24">L18+M17</f>
        <v>19247</v>
      </c>
      <c r="N18" s="7">
        <f t="shared" ref="N18" si="25">M18+N17</f>
        <v>20995</v>
      </c>
      <c r="O18" s="7">
        <f>N18</f>
        <v>20995</v>
      </c>
      <c r="P18" s="9"/>
    </row>
    <row r="19" spans="1:18" x14ac:dyDescent="0.3">
      <c r="A19" s="393" t="s">
        <v>33</v>
      </c>
      <c r="B19" s="394"/>
      <c r="C19" s="8">
        <v>2846</v>
      </c>
      <c r="D19" s="8">
        <v>2173</v>
      </c>
      <c r="E19" s="8">
        <v>1588</v>
      </c>
      <c r="F19" s="8">
        <v>1195</v>
      </c>
      <c r="G19" s="8">
        <v>1388</v>
      </c>
      <c r="H19" s="8">
        <v>1498</v>
      </c>
      <c r="I19" s="8">
        <v>1331</v>
      </c>
      <c r="J19" s="8">
        <v>1490</v>
      </c>
      <c r="K19" s="8">
        <v>1734</v>
      </c>
      <c r="L19" s="8">
        <v>1411</v>
      </c>
      <c r="M19" s="8">
        <v>1432</v>
      </c>
      <c r="N19" s="8">
        <v>1543</v>
      </c>
      <c r="O19" s="8">
        <v>19629</v>
      </c>
      <c r="P19" s="9">
        <f>SUM(C19:N19)</f>
        <v>19629</v>
      </c>
      <c r="R19" t="b">
        <f>O19=P19</f>
        <v>1</v>
      </c>
    </row>
    <row r="20" spans="1:18" x14ac:dyDescent="0.3">
      <c r="A20" s="395" t="s">
        <v>30</v>
      </c>
      <c r="B20" s="396"/>
      <c r="C20" s="7">
        <f>C19</f>
        <v>2846</v>
      </c>
      <c r="D20" s="7">
        <f t="shared" ref="D20" si="26">C20+D19</f>
        <v>5019</v>
      </c>
      <c r="E20" s="7">
        <f t="shared" ref="E20" si="27">D20+E19</f>
        <v>6607</v>
      </c>
      <c r="F20" s="7">
        <f t="shared" ref="F20" si="28">E20+F19</f>
        <v>7802</v>
      </c>
      <c r="G20" s="7">
        <f t="shared" ref="G20" si="29">F20+G19</f>
        <v>9190</v>
      </c>
      <c r="H20" s="7">
        <f t="shared" ref="H20" si="30">G20+H19</f>
        <v>10688</v>
      </c>
      <c r="I20" s="7">
        <f t="shared" ref="I20" si="31">H20+I19</f>
        <v>12019</v>
      </c>
      <c r="J20" s="7">
        <f t="shared" ref="J20" si="32">I20+J19</f>
        <v>13509</v>
      </c>
      <c r="K20" s="7">
        <f t="shared" ref="K20" si="33">J20+K19</f>
        <v>15243</v>
      </c>
      <c r="L20" s="7">
        <f t="shared" ref="L20" si="34">K20+L19</f>
        <v>16654</v>
      </c>
      <c r="M20" s="7">
        <f t="shared" ref="M20" si="35">L20+M19</f>
        <v>18086</v>
      </c>
      <c r="N20" s="7">
        <f t="shared" ref="N20" si="36">M20+N19</f>
        <v>19629</v>
      </c>
      <c r="O20" s="7">
        <f>N20</f>
        <v>19629</v>
      </c>
      <c r="P20" s="9"/>
    </row>
    <row r="22" spans="1:18" ht="17.25" thickBot="1" x14ac:dyDescent="0.35"/>
    <row r="23" spans="1:18" ht="17.25" thickBot="1" x14ac:dyDescent="0.35">
      <c r="A23" s="5" t="s">
        <v>346</v>
      </c>
      <c r="B23" s="5"/>
      <c r="D23" s="36" t="s">
        <v>347</v>
      </c>
      <c r="E23" s="37">
        <v>42.369</v>
      </c>
    </row>
    <row r="24" spans="1:18" x14ac:dyDescent="0.3">
      <c r="A24" s="402" t="s">
        <v>3</v>
      </c>
      <c r="B24" s="402"/>
      <c r="C24" s="14">
        <v>1</v>
      </c>
      <c r="D24" s="35">
        <v>2</v>
      </c>
      <c r="E24" s="35">
        <v>3</v>
      </c>
      <c r="F24" s="14">
        <v>4</v>
      </c>
      <c r="G24" s="14">
        <v>5</v>
      </c>
      <c r="H24" s="14">
        <v>6</v>
      </c>
      <c r="I24" s="14">
        <v>7</v>
      </c>
      <c r="J24" s="14">
        <v>8</v>
      </c>
      <c r="K24" s="14">
        <v>9</v>
      </c>
      <c r="L24" s="14">
        <v>10</v>
      </c>
      <c r="M24" s="14">
        <v>11</v>
      </c>
      <c r="N24" s="14">
        <v>12</v>
      </c>
      <c r="O24" s="14" t="s">
        <v>14</v>
      </c>
      <c r="P24" s="14" t="s">
        <v>40</v>
      </c>
    </row>
    <row r="25" spans="1:18" ht="16.5" customHeight="1" thickBot="1" x14ac:dyDescent="0.35">
      <c r="A25" s="397" t="s">
        <v>34</v>
      </c>
      <c r="B25" s="19" t="s">
        <v>36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5"/>
      <c r="P25" s="16">
        <f t="shared" ref="P25:P28" si="37">SUM(C25:N25)</f>
        <v>0</v>
      </c>
      <c r="R25" t="b">
        <f>O25=P25</f>
        <v>1</v>
      </c>
    </row>
    <row r="26" spans="1:18" ht="17.25" thickBot="1" x14ac:dyDescent="0.35">
      <c r="A26" s="398"/>
      <c r="B26" s="28" t="s">
        <v>38</v>
      </c>
      <c r="C26" s="29">
        <f t="shared" ref="C26:O26" si="38">ROUND(C25/1000,0)</f>
        <v>0</v>
      </c>
      <c r="D26" s="29">
        <f t="shared" si="38"/>
        <v>0</v>
      </c>
      <c r="E26" s="29">
        <f t="shared" si="38"/>
        <v>0</v>
      </c>
      <c r="F26" s="29">
        <f t="shared" si="38"/>
        <v>0</v>
      </c>
      <c r="G26" s="29">
        <f t="shared" si="38"/>
        <v>0</v>
      </c>
      <c r="H26" s="29">
        <f t="shared" si="38"/>
        <v>0</v>
      </c>
      <c r="I26" s="29">
        <f t="shared" si="38"/>
        <v>0</v>
      </c>
      <c r="J26" s="29">
        <f t="shared" si="38"/>
        <v>0</v>
      </c>
      <c r="K26" s="29">
        <f t="shared" si="38"/>
        <v>0</v>
      </c>
      <c r="L26" s="29">
        <f t="shared" si="38"/>
        <v>0</v>
      </c>
      <c r="M26" s="29">
        <f t="shared" si="38"/>
        <v>0</v>
      </c>
      <c r="N26" s="30">
        <f t="shared" si="38"/>
        <v>0</v>
      </c>
      <c r="O26" s="31">
        <f t="shared" si="38"/>
        <v>0</v>
      </c>
      <c r="P26" s="23">
        <f>ROUND(SUM(C26:N26),0)</f>
        <v>0</v>
      </c>
    </row>
    <row r="27" spans="1:18" x14ac:dyDescent="0.3">
      <c r="A27" s="397"/>
      <c r="B27" s="32" t="s">
        <v>41</v>
      </c>
      <c r="C27" s="33">
        <f>C26</f>
        <v>0</v>
      </c>
      <c r="D27" s="33">
        <f t="shared" ref="D27:N27" si="39">C27+D26</f>
        <v>0</v>
      </c>
      <c r="E27" s="33">
        <f t="shared" si="39"/>
        <v>0</v>
      </c>
      <c r="F27" s="33">
        <f t="shared" si="39"/>
        <v>0</v>
      </c>
      <c r="G27" s="33">
        <f t="shared" si="39"/>
        <v>0</v>
      </c>
      <c r="H27" s="33">
        <f t="shared" si="39"/>
        <v>0</v>
      </c>
      <c r="I27" s="33">
        <f t="shared" si="39"/>
        <v>0</v>
      </c>
      <c r="J27" s="33">
        <f t="shared" si="39"/>
        <v>0</v>
      </c>
      <c r="K27" s="33">
        <f t="shared" si="39"/>
        <v>0</v>
      </c>
      <c r="L27" s="33">
        <f t="shared" si="39"/>
        <v>0</v>
      </c>
      <c r="M27" s="33">
        <f t="shared" si="39"/>
        <v>0</v>
      </c>
      <c r="N27" s="33">
        <f t="shared" si="39"/>
        <v>0</v>
      </c>
      <c r="O27" s="16">
        <f>N27</f>
        <v>0</v>
      </c>
      <c r="P27" s="16"/>
    </row>
    <row r="28" spans="1:18" ht="17.25" thickBot="1" x14ac:dyDescent="0.35">
      <c r="A28" s="397"/>
      <c r="B28" s="19" t="s">
        <v>47</v>
      </c>
      <c r="C28" s="20">
        <v>7309529356</v>
      </c>
      <c r="D28" s="20">
        <v>5744742738</v>
      </c>
      <c r="E28" s="20">
        <v>4826077152</v>
      </c>
      <c r="F28" s="20">
        <v>3085078033</v>
      </c>
      <c r="G28" s="20">
        <v>2471083324</v>
      </c>
      <c r="H28" s="20">
        <v>2013875903</v>
      </c>
      <c r="I28" s="20">
        <v>2006152573</v>
      </c>
      <c r="J28" s="20">
        <v>1921945493</v>
      </c>
      <c r="K28" s="20">
        <v>2053319154</v>
      </c>
      <c r="L28" s="20">
        <v>2445221897</v>
      </c>
      <c r="M28" s="20">
        <v>4470414511</v>
      </c>
      <c r="N28" s="20">
        <v>7036986674</v>
      </c>
      <c r="O28" s="20">
        <v>45384426808</v>
      </c>
      <c r="P28" s="16">
        <f t="shared" si="37"/>
        <v>45384426808</v>
      </c>
      <c r="R28" t="b">
        <f>O28=P28</f>
        <v>1</v>
      </c>
    </row>
    <row r="29" spans="1:18" ht="17.25" thickBot="1" x14ac:dyDescent="0.35">
      <c r="A29" s="399"/>
      <c r="B29" s="28" t="s">
        <v>51</v>
      </c>
      <c r="C29" s="29">
        <f t="shared" ref="C29:O29" si="40">ROUND(C28/1000,0)</f>
        <v>7309529</v>
      </c>
      <c r="D29" s="29">
        <f t="shared" si="40"/>
        <v>5744743</v>
      </c>
      <c r="E29" s="29">
        <f t="shared" si="40"/>
        <v>4826077</v>
      </c>
      <c r="F29" s="29">
        <f t="shared" si="40"/>
        <v>3085078</v>
      </c>
      <c r="G29" s="29">
        <f t="shared" si="40"/>
        <v>2471083</v>
      </c>
      <c r="H29" s="29">
        <f t="shared" si="40"/>
        <v>2013876</v>
      </c>
      <c r="I29" s="29">
        <f t="shared" si="40"/>
        <v>2006153</v>
      </c>
      <c r="J29" s="29">
        <f t="shared" si="40"/>
        <v>1921945</v>
      </c>
      <c r="K29" s="29">
        <f t="shared" si="40"/>
        <v>2053319</v>
      </c>
      <c r="L29" s="29">
        <f t="shared" si="40"/>
        <v>2445222</v>
      </c>
      <c r="M29" s="29">
        <f t="shared" si="40"/>
        <v>4470415</v>
      </c>
      <c r="N29" s="30">
        <f t="shared" si="40"/>
        <v>7036987</v>
      </c>
      <c r="O29" s="31">
        <f t="shared" si="40"/>
        <v>45384427</v>
      </c>
      <c r="P29" s="24">
        <f>SUM(C29:N29)</f>
        <v>45384427</v>
      </c>
    </row>
    <row r="30" spans="1:18" x14ac:dyDescent="0.3">
      <c r="A30" s="400"/>
      <c r="B30" s="25" t="s">
        <v>43</v>
      </c>
      <c r="C30" s="26">
        <f t="shared" ref="C30:O30" si="41">C26*$E$23</f>
        <v>0</v>
      </c>
      <c r="D30" s="26">
        <f t="shared" si="41"/>
        <v>0</v>
      </c>
      <c r="E30" s="26">
        <f t="shared" si="41"/>
        <v>0</v>
      </c>
      <c r="F30" s="26">
        <f t="shared" si="41"/>
        <v>0</v>
      </c>
      <c r="G30" s="26">
        <f t="shared" si="41"/>
        <v>0</v>
      </c>
      <c r="H30" s="26">
        <f t="shared" si="41"/>
        <v>0</v>
      </c>
      <c r="I30" s="26">
        <f t="shared" si="41"/>
        <v>0</v>
      </c>
      <c r="J30" s="26">
        <f t="shared" si="41"/>
        <v>0</v>
      </c>
      <c r="K30" s="26">
        <f t="shared" si="41"/>
        <v>0</v>
      </c>
      <c r="L30" s="26">
        <f t="shared" si="41"/>
        <v>0</v>
      </c>
      <c r="M30" s="26">
        <f t="shared" si="41"/>
        <v>0</v>
      </c>
      <c r="N30" s="26">
        <f t="shared" si="41"/>
        <v>0</v>
      </c>
      <c r="O30" s="27">
        <f t="shared" si="41"/>
        <v>0</v>
      </c>
      <c r="P30" s="22">
        <f>ROUND(SUM(C30:N30),0)</f>
        <v>0</v>
      </c>
    </row>
    <row r="31" spans="1:18" x14ac:dyDescent="0.3">
      <c r="A31" s="401"/>
      <c r="B31" s="17" t="s">
        <v>42</v>
      </c>
      <c r="C31" s="18">
        <f>C30</f>
        <v>0</v>
      </c>
      <c r="D31" s="18">
        <f t="shared" ref="D31" si="42">C31+D30</f>
        <v>0</v>
      </c>
      <c r="E31" s="18">
        <f t="shared" ref="E31" si="43">D31+E30</f>
        <v>0</v>
      </c>
      <c r="F31" s="18">
        <f t="shared" ref="F31" si="44">E31+F30</f>
        <v>0</v>
      </c>
      <c r="G31" s="18">
        <f t="shared" ref="G31" si="45">F31+G30</f>
        <v>0</v>
      </c>
      <c r="H31" s="18">
        <f t="shared" ref="H31" si="46">G31+H30</f>
        <v>0</v>
      </c>
      <c r="I31" s="18">
        <f t="shared" ref="I31" si="47">H31+I30</f>
        <v>0</v>
      </c>
      <c r="J31" s="18">
        <f t="shared" ref="J31" si="48">I31+J30</f>
        <v>0</v>
      </c>
      <c r="K31" s="18">
        <f t="shared" ref="K31" si="49">J31+K30</f>
        <v>0</v>
      </c>
      <c r="L31" s="18">
        <f t="shared" ref="L31" si="50">K31+L30</f>
        <v>0</v>
      </c>
      <c r="M31" s="18">
        <f t="shared" ref="M31" si="51">L31+M30</f>
        <v>0</v>
      </c>
      <c r="N31" s="18">
        <f t="shared" ref="N31" si="52">M31+N30</f>
        <v>0</v>
      </c>
      <c r="O31" s="18">
        <f>N31</f>
        <v>0</v>
      </c>
      <c r="P31" s="18"/>
    </row>
    <row r="32" spans="1:18" ht="16.5" customHeight="1" thickBot="1" x14ac:dyDescent="0.35">
      <c r="A32" s="397" t="s">
        <v>35</v>
      </c>
      <c r="B32" s="19" t="s">
        <v>36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/>
      <c r="P32" s="16">
        <f t="shared" ref="P32" si="53">SUM(C32:N32)</f>
        <v>0</v>
      </c>
      <c r="R32" t="b">
        <f>O32=P32</f>
        <v>1</v>
      </c>
    </row>
    <row r="33" spans="1:18" ht="17.25" thickBot="1" x14ac:dyDescent="0.35">
      <c r="A33" s="398"/>
      <c r="B33" s="28" t="s">
        <v>38</v>
      </c>
      <c r="C33" s="29">
        <f t="shared" ref="C33" si="54">ROUND(C32/1000,0)</f>
        <v>0</v>
      </c>
      <c r="D33" s="29">
        <f t="shared" ref="D33" si="55">ROUND(D32/1000,0)</f>
        <v>0</v>
      </c>
      <c r="E33" s="29">
        <f t="shared" ref="E33" si="56">ROUND(E32/1000,0)</f>
        <v>0</v>
      </c>
      <c r="F33" s="29">
        <f t="shared" ref="F33" si="57">ROUND(F32/1000,0)</f>
        <v>0</v>
      </c>
      <c r="G33" s="29">
        <f t="shared" ref="G33" si="58">ROUND(G32/1000,0)</f>
        <v>0</v>
      </c>
      <c r="H33" s="29">
        <f t="shared" ref="H33" si="59">ROUND(H32/1000,0)</f>
        <v>0</v>
      </c>
      <c r="I33" s="29">
        <f t="shared" ref="I33" si="60">ROUND(I32/1000,0)</f>
        <v>0</v>
      </c>
      <c r="J33" s="29">
        <f t="shared" ref="J33" si="61">ROUND(J32/1000,0)</f>
        <v>0</v>
      </c>
      <c r="K33" s="29">
        <f t="shared" ref="K33" si="62">ROUND(K32/1000,0)</f>
        <v>0</v>
      </c>
      <c r="L33" s="29">
        <f t="shared" ref="L33" si="63">ROUND(L32/1000,0)</f>
        <v>0</v>
      </c>
      <c r="M33" s="29">
        <f t="shared" ref="M33" si="64">ROUND(M32/1000,0)</f>
        <v>0</v>
      </c>
      <c r="N33" s="30">
        <f t="shared" ref="N33" si="65">ROUND(N32/1000,0)</f>
        <v>0</v>
      </c>
      <c r="O33" s="31">
        <f t="shared" ref="O33" si="66">ROUND(O32/1000,0)</f>
        <v>0</v>
      </c>
      <c r="P33" s="23">
        <f>ROUND(SUM(C33:N33),0)</f>
        <v>0</v>
      </c>
    </row>
    <row r="34" spans="1:18" x14ac:dyDescent="0.3">
      <c r="A34" s="397"/>
      <c r="B34" s="32" t="s">
        <v>41</v>
      </c>
      <c r="C34" s="33">
        <f>C33</f>
        <v>0</v>
      </c>
      <c r="D34" s="33">
        <f t="shared" ref="D34" si="67">C34+D33</f>
        <v>0</v>
      </c>
      <c r="E34" s="33">
        <f t="shared" ref="E34" si="68">D34+E33</f>
        <v>0</v>
      </c>
      <c r="F34" s="33">
        <f t="shared" ref="F34" si="69">E34+F33</f>
        <v>0</v>
      </c>
      <c r="G34" s="33">
        <f t="shared" ref="G34" si="70">F34+G33</f>
        <v>0</v>
      </c>
      <c r="H34" s="33">
        <f t="shared" ref="H34" si="71">G34+H33</f>
        <v>0</v>
      </c>
      <c r="I34" s="33">
        <f t="shared" ref="I34" si="72">H34+I33</f>
        <v>0</v>
      </c>
      <c r="J34" s="33">
        <f t="shared" ref="J34" si="73">I34+J33</f>
        <v>0</v>
      </c>
      <c r="K34" s="33">
        <f t="shared" ref="K34" si="74">J34+K33</f>
        <v>0</v>
      </c>
      <c r="L34" s="33">
        <f t="shared" ref="L34" si="75">K34+L33</f>
        <v>0</v>
      </c>
      <c r="M34" s="33">
        <f t="shared" ref="M34" si="76">L34+M33</f>
        <v>0</v>
      </c>
      <c r="N34" s="33">
        <f t="shared" ref="N34" si="77">M34+N33</f>
        <v>0</v>
      </c>
      <c r="O34" s="16">
        <f>N34</f>
        <v>0</v>
      </c>
      <c r="P34" s="16"/>
    </row>
    <row r="35" spans="1:18" ht="17.25" thickBot="1" x14ac:dyDescent="0.35">
      <c r="A35" s="397"/>
      <c r="B35" s="19" t="s">
        <v>49</v>
      </c>
      <c r="C35" s="20">
        <v>7452949954</v>
      </c>
      <c r="D35" s="20">
        <v>5848989599</v>
      </c>
      <c r="E35" s="20">
        <v>4923676985</v>
      </c>
      <c r="F35" s="20">
        <v>3129143048</v>
      </c>
      <c r="G35" s="20">
        <v>2501464116</v>
      </c>
      <c r="H35" s="20">
        <v>2036266908</v>
      </c>
      <c r="I35" s="20">
        <v>2035683908</v>
      </c>
      <c r="J35" s="20">
        <v>1952402202</v>
      </c>
      <c r="K35" s="20">
        <v>2077236743</v>
      </c>
      <c r="L35" s="20">
        <v>2486005138</v>
      </c>
      <c r="M35" s="20">
        <v>4557272636</v>
      </c>
      <c r="N35" s="20">
        <v>7173645684</v>
      </c>
      <c r="O35" s="15">
        <v>46174736921</v>
      </c>
      <c r="P35" s="16">
        <f t="shared" ref="P35" si="78">SUM(C35:N35)</f>
        <v>46174736921</v>
      </c>
      <c r="R35" t="b">
        <f>O35=P35</f>
        <v>1</v>
      </c>
    </row>
    <row r="36" spans="1:18" ht="17.25" thickBot="1" x14ac:dyDescent="0.35">
      <c r="A36" s="399"/>
      <c r="B36" s="28" t="s">
        <v>37</v>
      </c>
      <c r="C36" s="29">
        <f t="shared" ref="C36" si="79">ROUND(C35/1000,0)</f>
        <v>7452950</v>
      </c>
      <c r="D36" s="29">
        <f t="shared" ref="D36" si="80">ROUND(D35/1000,0)</f>
        <v>5848990</v>
      </c>
      <c r="E36" s="29">
        <f t="shared" ref="E36" si="81">ROUND(E35/1000,0)</f>
        <v>4923677</v>
      </c>
      <c r="F36" s="29">
        <f t="shared" ref="F36" si="82">ROUND(F35/1000,0)</f>
        <v>3129143</v>
      </c>
      <c r="G36" s="29">
        <f t="shared" ref="G36" si="83">ROUND(G35/1000,0)</f>
        <v>2501464</v>
      </c>
      <c r="H36" s="29">
        <f t="shared" ref="H36" si="84">ROUND(H35/1000,0)</f>
        <v>2036267</v>
      </c>
      <c r="I36" s="29">
        <f t="shared" ref="I36" si="85">ROUND(I35/1000,0)</f>
        <v>2035684</v>
      </c>
      <c r="J36" s="29">
        <f t="shared" ref="J36" si="86">ROUND(J35/1000,0)</f>
        <v>1952402</v>
      </c>
      <c r="K36" s="29">
        <f t="shared" ref="K36" si="87">ROUND(K35/1000,0)</f>
        <v>2077237</v>
      </c>
      <c r="L36" s="29">
        <f t="shared" ref="L36" si="88">ROUND(L35/1000,0)</f>
        <v>2486005</v>
      </c>
      <c r="M36" s="29">
        <f t="shared" ref="M36" si="89">ROUND(M35/1000,0)</f>
        <v>4557273</v>
      </c>
      <c r="N36" s="30">
        <f t="shared" ref="N36" si="90">ROUND(N35/1000,0)</f>
        <v>7173646</v>
      </c>
      <c r="O36" s="24">
        <f t="shared" ref="O36" si="91">ROUND(O35/1000,0)</f>
        <v>46174737</v>
      </c>
      <c r="P36" s="21">
        <f>SUM(C36:N36)</f>
        <v>46174738</v>
      </c>
    </row>
    <row r="37" spans="1:18" x14ac:dyDescent="0.3">
      <c r="A37" s="400"/>
      <c r="B37" s="25" t="s">
        <v>43</v>
      </c>
      <c r="C37" s="26">
        <f t="shared" ref="C37:O37" si="92">C33*$E$23</f>
        <v>0</v>
      </c>
      <c r="D37" s="26">
        <f t="shared" si="92"/>
        <v>0</v>
      </c>
      <c r="E37" s="26">
        <f t="shared" si="92"/>
        <v>0</v>
      </c>
      <c r="F37" s="26">
        <f t="shared" si="92"/>
        <v>0</v>
      </c>
      <c r="G37" s="26">
        <f t="shared" si="92"/>
        <v>0</v>
      </c>
      <c r="H37" s="26">
        <f t="shared" si="92"/>
        <v>0</v>
      </c>
      <c r="I37" s="26">
        <f t="shared" si="92"/>
        <v>0</v>
      </c>
      <c r="J37" s="26">
        <f t="shared" si="92"/>
        <v>0</v>
      </c>
      <c r="K37" s="26">
        <f t="shared" si="92"/>
        <v>0</v>
      </c>
      <c r="L37" s="26">
        <f t="shared" si="92"/>
        <v>0</v>
      </c>
      <c r="M37" s="26">
        <f t="shared" si="92"/>
        <v>0</v>
      </c>
      <c r="N37" s="26">
        <f t="shared" si="92"/>
        <v>0</v>
      </c>
      <c r="O37" s="22">
        <f t="shared" si="92"/>
        <v>0</v>
      </c>
      <c r="P37" s="22">
        <f>ROUND(SUM(C37:N37),0)</f>
        <v>0</v>
      </c>
    </row>
    <row r="38" spans="1:18" x14ac:dyDescent="0.3">
      <c r="A38" s="401"/>
      <c r="B38" s="17" t="s">
        <v>42</v>
      </c>
      <c r="C38" s="18">
        <f>C37</f>
        <v>0</v>
      </c>
      <c r="D38" s="18">
        <f t="shared" ref="D38" si="93">C38+D37</f>
        <v>0</v>
      </c>
      <c r="E38" s="18">
        <f t="shared" ref="E38" si="94">D38+E37</f>
        <v>0</v>
      </c>
      <c r="F38" s="18">
        <f t="shared" ref="F38" si="95">E38+F37</f>
        <v>0</v>
      </c>
      <c r="G38" s="18">
        <f t="shared" ref="G38" si="96">F38+G37</f>
        <v>0</v>
      </c>
      <c r="H38" s="18">
        <f t="shared" ref="H38" si="97">G38+H37</f>
        <v>0</v>
      </c>
      <c r="I38" s="18">
        <f t="shared" ref="I38" si="98">H38+I37</f>
        <v>0</v>
      </c>
      <c r="J38" s="18">
        <f t="shared" ref="J38" si="99">I38+J37</f>
        <v>0</v>
      </c>
      <c r="K38" s="18">
        <f t="shared" ref="K38" si="100">J38+K37</f>
        <v>0</v>
      </c>
      <c r="L38" s="18">
        <f t="shared" ref="L38" si="101">K38+L37</f>
        <v>0</v>
      </c>
      <c r="M38" s="18">
        <f t="shared" ref="M38" si="102">L38+M37</f>
        <v>0</v>
      </c>
      <c r="N38" s="18">
        <f t="shared" ref="N38" si="103">M38+N37</f>
        <v>0</v>
      </c>
      <c r="O38" s="18">
        <f>N38</f>
        <v>0</v>
      </c>
      <c r="P38" s="18"/>
    </row>
    <row r="39" spans="1:18" ht="16.5" customHeight="1" thickBot="1" x14ac:dyDescent="0.35">
      <c r="A39" s="397" t="s">
        <v>44</v>
      </c>
      <c r="B39" s="19" t="s">
        <v>36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5"/>
      <c r="P39" s="16">
        <f t="shared" ref="P39" si="104">SUM(C39:N39)</f>
        <v>0</v>
      </c>
      <c r="R39" t="b">
        <f>O39=P39</f>
        <v>1</v>
      </c>
    </row>
    <row r="40" spans="1:18" ht="17.25" thickBot="1" x14ac:dyDescent="0.35">
      <c r="A40" s="398"/>
      <c r="B40" s="28" t="s">
        <v>38</v>
      </c>
      <c r="C40" s="29">
        <f t="shared" ref="C40" si="105">ROUND(C39/1000,0)</f>
        <v>0</v>
      </c>
      <c r="D40" s="29">
        <f t="shared" ref="D40" si="106">ROUND(D39/1000,0)</f>
        <v>0</v>
      </c>
      <c r="E40" s="29">
        <f t="shared" ref="E40" si="107">ROUND(E39/1000,0)</f>
        <v>0</v>
      </c>
      <c r="F40" s="29">
        <f t="shared" ref="F40" si="108">ROUND(F39/1000,0)</f>
        <v>0</v>
      </c>
      <c r="G40" s="29">
        <f t="shared" ref="G40" si="109">ROUND(G39/1000,0)</f>
        <v>0</v>
      </c>
      <c r="H40" s="29">
        <f t="shared" ref="H40" si="110">ROUND(H39/1000,0)</f>
        <v>0</v>
      </c>
      <c r="I40" s="29">
        <f t="shared" ref="I40" si="111">ROUND(I39/1000,0)</f>
        <v>0</v>
      </c>
      <c r="J40" s="29">
        <f t="shared" ref="J40" si="112">ROUND(J39/1000,0)</f>
        <v>0</v>
      </c>
      <c r="K40" s="29">
        <f t="shared" ref="K40" si="113">ROUND(K39/1000,0)</f>
        <v>0</v>
      </c>
      <c r="L40" s="29">
        <f t="shared" ref="L40" si="114">ROUND(L39/1000,0)</f>
        <v>0</v>
      </c>
      <c r="M40" s="29">
        <f t="shared" ref="M40" si="115">ROUND(M39/1000,0)</f>
        <v>0</v>
      </c>
      <c r="N40" s="30">
        <f t="shared" ref="N40" si="116">ROUND(N39/1000,0)</f>
        <v>0</v>
      </c>
      <c r="O40" s="31">
        <f t="shared" ref="O40" si="117">ROUND(O39/1000,0)</f>
        <v>0</v>
      </c>
      <c r="P40" s="23">
        <f>ROUND(SUM(C40:N40),0)</f>
        <v>0</v>
      </c>
    </row>
    <row r="41" spans="1:18" x14ac:dyDescent="0.3">
      <c r="A41" s="397"/>
      <c r="B41" s="32" t="s">
        <v>41</v>
      </c>
      <c r="C41" s="33">
        <f>C40</f>
        <v>0</v>
      </c>
      <c r="D41" s="33">
        <f t="shared" ref="D41" si="118">C41+D40</f>
        <v>0</v>
      </c>
      <c r="E41" s="33">
        <f t="shared" ref="E41" si="119">D41+E40</f>
        <v>0</v>
      </c>
      <c r="F41" s="33">
        <f t="shared" ref="F41" si="120">E41+F40</f>
        <v>0</v>
      </c>
      <c r="G41" s="33">
        <f t="shared" ref="G41" si="121">F41+G40</f>
        <v>0</v>
      </c>
      <c r="H41" s="33">
        <f t="shared" ref="H41" si="122">G41+H40</f>
        <v>0</v>
      </c>
      <c r="I41" s="33">
        <f t="shared" ref="I41" si="123">H41+I40</f>
        <v>0</v>
      </c>
      <c r="J41" s="33">
        <f t="shared" ref="J41" si="124">I41+J40</f>
        <v>0</v>
      </c>
      <c r="K41" s="33">
        <f t="shared" ref="K41" si="125">J41+K40</f>
        <v>0</v>
      </c>
      <c r="L41" s="33">
        <f t="shared" ref="L41" si="126">K41+L40</f>
        <v>0</v>
      </c>
      <c r="M41" s="33">
        <f t="shared" ref="M41" si="127">L41+M40</f>
        <v>0</v>
      </c>
      <c r="N41" s="33">
        <f t="shared" ref="N41" si="128">M41+N40</f>
        <v>0</v>
      </c>
      <c r="O41" s="16">
        <f>N41</f>
        <v>0</v>
      </c>
      <c r="P41" s="16"/>
    </row>
    <row r="42" spans="1:18" ht="17.25" thickBot="1" x14ac:dyDescent="0.35">
      <c r="A42" s="397"/>
      <c r="B42" s="19" t="s">
        <v>50</v>
      </c>
      <c r="C42" s="20">
        <v>7044839530</v>
      </c>
      <c r="D42" s="20">
        <v>5536848216</v>
      </c>
      <c r="E42" s="20">
        <v>4663233183</v>
      </c>
      <c r="F42" s="20">
        <v>2995568879</v>
      </c>
      <c r="G42" s="20">
        <v>2410203382</v>
      </c>
      <c r="H42" s="20">
        <v>1972989199</v>
      </c>
      <c r="I42" s="20">
        <v>1964481820</v>
      </c>
      <c r="J42" s="20">
        <v>1879524330</v>
      </c>
      <c r="K42" s="20">
        <v>2003573234</v>
      </c>
      <c r="L42" s="20">
        <v>2367986414</v>
      </c>
      <c r="M42" s="20">
        <v>4313138811</v>
      </c>
      <c r="N42" s="20">
        <v>6763821500</v>
      </c>
      <c r="O42" s="15">
        <v>43916208498</v>
      </c>
      <c r="P42" s="16">
        <f t="shared" ref="P42" si="129">SUM(C42:N42)</f>
        <v>43916208498</v>
      </c>
      <c r="R42" t="b">
        <f>O42=P42</f>
        <v>1</v>
      </c>
    </row>
    <row r="43" spans="1:18" ht="17.25" thickBot="1" x14ac:dyDescent="0.35">
      <c r="A43" s="399"/>
      <c r="B43" s="28" t="s">
        <v>48</v>
      </c>
      <c r="C43" s="29">
        <f t="shared" ref="C43" si="130">ROUND(C42/1000,0)</f>
        <v>7044840</v>
      </c>
      <c r="D43" s="29">
        <f t="shared" ref="D43" si="131">ROUND(D42/1000,0)</f>
        <v>5536848</v>
      </c>
      <c r="E43" s="29">
        <f t="shared" ref="E43" si="132">ROUND(E42/1000,0)</f>
        <v>4663233</v>
      </c>
      <c r="F43" s="29">
        <f t="shared" ref="F43" si="133">ROUND(F42/1000,0)</f>
        <v>2995569</v>
      </c>
      <c r="G43" s="29">
        <f t="shared" ref="G43" si="134">ROUND(G42/1000,0)</f>
        <v>2410203</v>
      </c>
      <c r="H43" s="29">
        <f t="shared" ref="H43" si="135">ROUND(H42/1000,0)</f>
        <v>1972989</v>
      </c>
      <c r="I43" s="29">
        <f t="shared" ref="I43" si="136">ROUND(I42/1000,0)</f>
        <v>1964482</v>
      </c>
      <c r="J43" s="29">
        <f t="shared" ref="J43" si="137">ROUND(J42/1000,0)</f>
        <v>1879524</v>
      </c>
      <c r="K43" s="29">
        <f t="shared" ref="K43" si="138">ROUND(K42/1000,0)</f>
        <v>2003573</v>
      </c>
      <c r="L43" s="29">
        <f t="shared" ref="L43" si="139">ROUND(L42/1000,0)</f>
        <v>2367986</v>
      </c>
      <c r="M43" s="29">
        <f t="shared" ref="M43" si="140">ROUND(M42/1000,0)</f>
        <v>4313139</v>
      </c>
      <c r="N43" s="30">
        <f t="shared" ref="N43" si="141">ROUND(N42/1000,0)</f>
        <v>6763822</v>
      </c>
      <c r="O43" s="24">
        <f t="shared" ref="O43" si="142">ROUND(O42/1000,0)</f>
        <v>43916208</v>
      </c>
      <c r="P43" s="21">
        <f>SUM(C43:N43)</f>
        <v>43916208</v>
      </c>
    </row>
    <row r="44" spans="1:18" x14ac:dyDescent="0.3">
      <c r="A44" s="400"/>
      <c r="B44" s="25" t="s">
        <v>43</v>
      </c>
      <c r="C44" s="26">
        <f t="shared" ref="C44:O44" si="143">C40*$E$23</f>
        <v>0</v>
      </c>
      <c r="D44" s="26">
        <f t="shared" si="143"/>
        <v>0</v>
      </c>
      <c r="E44" s="26">
        <f t="shared" si="143"/>
        <v>0</v>
      </c>
      <c r="F44" s="26">
        <f t="shared" si="143"/>
        <v>0</v>
      </c>
      <c r="G44" s="26">
        <f t="shared" si="143"/>
        <v>0</v>
      </c>
      <c r="H44" s="26">
        <f t="shared" si="143"/>
        <v>0</v>
      </c>
      <c r="I44" s="26">
        <f t="shared" si="143"/>
        <v>0</v>
      </c>
      <c r="J44" s="26">
        <f t="shared" si="143"/>
        <v>0</v>
      </c>
      <c r="K44" s="26">
        <f t="shared" si="143"/>
        <v>0</v>
      </c>
      <c r="L44" s="26">
        <f t="shared" si="143"/>
        <v>0</v>
      </c>
      <c r="M44" s="26">
        <f t="shared" si="143"/>
        <v>0</v>
      </c>
      <c r="N44" s="26">
        <f t="shared" si="143"/>
        <v>0</v>
      </c>
      <c r="O44" s="22">
        <f t="shared" si="143"/>
        <v>0</v>
      </c>
      <c r="P44" s="22">
        <f>ROUND(SUM(C44:N44),0)</f>
        <v>0</v>
      </c>
    </row>
    <row r="45" spans="1:18" x14ac:dyDescent="0.3">
      <c r="A45" s="401"/>
      <c r="B45" s="17" t="s">
        <v>42</v>
      </c>
      <c r="C45" s="18">
        <f>C44</f>
        <v>0</v>
      </c>
      <c r="D45" s="18">
        <f t="shared" ref="D45" si="144">C45+D44</f>
        <v>0</v>
      </c>
      <c r="E45" s="18">
        <f t="shared" ref="E45" si="145">D45+E44</f>
        <v>0</v>
      </c>
      <c r="F45" s="18">
        <f t="shared" ref="F45" si="146">E45+F44</f>
        <v>0</v>
      </c>
      <c r="G45" s="18">
        <f t="shared" ref="G45" si="147">F45+G44</f>
        <v>0</v>
      </c>
      <c r="H45" s="18">
        <f t="shared" ref="H45" si="148">G45+H44</f>
        <v>0</v>
      </c>
      <c r="I45" s="18">
        <f t="shared" ref="I45" si="149">H45+I44</f>
        <v>0</v>
      </c>
      <c r="J45" s="18">
        <f t="shared" ref="J45" si="150">I45+J44</f>
        <v>0</v>
      </c>
      <c r="K45" s="18">
        <f t="shared" ref="K45" si="151">J45+K44</f>
        <v>0</v>
      </c>
      <c r="L45" s="18">
        <f t="shared" ref="L45" si="152">K45+L44</f>
        <v>0</v>
      </c>
      <c r="M45" s="18">
        <f t="shared" ref="M45" si="153">L45+M44</f>
        <v>0</v>
      </c>
      <c r="N45" s="18">
        <f t="shared" ref="N45" si="154">M45+N44</f>
        <v>0</v>
      </c>
      <c r="O45" s="18">
        <f>N45</f>
        <v>0</v>
      </c>
      <c r="P45" s="18"/>
    </row>
  </sheetData>
  <mergeCells count="18">
    <mergeCell ref="A17:B17"/>
    <mergeCell ref="A18:B18"/>
    <mergeCell ref="A9:B9"/>
    <mergeCell ref="A10:B10"/>
    <mergeCell ref="A14:B14"/>
    <mergeCell ref="A15:B15"/>
    <mergeCell ref="A16:B16"/>
    <mergeCell ref="A4:B4"/>
    <mergeCell ref="A5:B5"/>
    <mergeCell ref="A6:B6"/>
    <mergeCell ref="A7:B7"/>
    <mergeCell ref="A8:B8"/>
    <mergeCell ref="A19:B19"/>
    <mergeCell ref="A20:B20"/>
    <mergeCell ref="A32:A38"/>
    <mergeCell ref="A39:A45"/>
    <mergeCell ref="A24:B24"/>
    <mergeCell ref="A25:A31"/>
  </mergeCells>
  <phoneticPr fontId="1" type="noConversion"/>
  <conditionalFormatting sqref="A1:XFD1048576">
    <cfRule type="containsText" dxfId="28" priority="1" operator="containsText" text="false">
      <formula>NOT(ISERROR(SEARCH("false",A1)))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</sheetPr>
  <dimension ref="A1:X53"/>
  <sheetViews>
    <sheetView zoomScale="85" zoomScaleNormal="85" workbookViewId="0">
      <pane xSplit="2" ySplit="5" topLeftCell="C21" activePane="bottomRight" state="frozen"/>
      <selection activeCell="F24" sqref="F24"/>
      <selection pane="topRight" activeCell="F24" sqref="F24"/>
      <selection pane="bottomLeft" activeCell="F24" sqref="F24"/>
      <selection pane="bottomRight" activeCell="D37" sqref="D37:D38"/>
    </sheetView>
  </sheetViews>
  <sheetFormatPr defaultRowHeight="16.5" x14ac:dyDescent="0.3"/>
  <cols>
    <col min="1" max="2" width="5.875" customWidth="1"/>
    <col min="3" max="12" width="14" customWidth="1"/>
    <col min="13" max="19" width="13.25" customWidth="1"/>
    <col min="20" max="20" width="13.25" style="212" customWidth="1"/>
    <col min="21" max="21" width="11.375" customWidth="1"/>
    <col min="23" max="24" width="13.875" customWidth="1"/>
    <col min="25" max="25" width="13" customWidth="1"/>
  </cols>
  <sheetData>
    <row r="1" spans="1:24" ht="33.75" customHeight="1" thickBot="1" x14ac:dyDescent="0.35">
      <c r="A1" s="1" t="s">
        <v>162</v>
      </c>
      <c r="B1" s="1"/>
      <c r="E1" s="198">
        <v>45688</v>
      </c>
      <c r="K1" s="91" t="s">
        <v>348</v>
      </c>
      <c r="L1" s="303">
        <v>42.369</v>
      </c>
      <c r="N1" s="2" t="s">
        <v>1</v>
      </c>
    </row>
    <row r="2" spans="1:24" x14ac:dyDescent="0.3">
      <c r="K2" s="205"/>
      <c r="L2" s="205"/>
    </row>
    <row r="3" spans="1:24" x14ac:dyDescent="0.3">
      <c r="A3" s="5" t="s">
        <v>163</v>
      </c>
      <c r="B3" s="5"/>
      <c r="M3" s="5" t="s">
        <v>176</v>
      </c>
      <c r="N3" s="5"/>
      <c r="Q3" s="5" t="s">
        <v>183</v>
      </c>
      <c r="R3" s="5"/>
    </row>
    <row r="4" spans="1:24" x14ac:dyDescent="0.3">
      <c r="A4" s="406" t="s">
        <v>3</v>
      </c>
      <c r="B4" s="407"/>
      <c r="C4" s="4" t="s">
        <v>164</v>
      </c>
      <c r="D4" s="4"/>
      <c r="E4" s="4"/>
      <c r="F4" s="4" t="str">
        <f>MONTH($E$1)&amp;"월"</f>
        <v>1월</v>
      </c>
      <c r="G4" s="4"/>
      <c r="H4" s="4"/>
      <c r="I4" s="4" t="s">
        <v>165</v>
      </c>
      <c r="J4" s="4"/>
      <c r="K4" s="404" t="s">
        <v>166</v>
      </c>
      <c r="M4" s="395" t="str">
        <f>MONTH($E$1)&amp;"월"</f>
        <v>1월</v>
      </c>
      <c r="N4" s="403"/>
      <c r="O4" s="396"/>
      <c r="Q4" s="395" t="s">
        <v>185</v>
      </c>
      <c r="R4" s="403"/>
      <c r="S4" s="396"/>
      <c r="T4" s="213"/>
    </row>
    <row r="5" spans="1:24" x14ac:dyDescent="0.3">
      <c r="A5" s="408"/>
      <c r="B5" s="409"/>
      <c r="C5" s="3" t="s">
        <v>167</v>
      </c>
      <c r="D5" s="3" t="s">
        <v>168</v>
      </c>
      <c r="E5" s="3" t="s">
        <v>169</v>
      </c>
      <c r="F5" s="3" t="s">
        <v>170</v>
      </c>
      <c r="G5" s="3" t="s">
        <v>171</v>
      </c>
      <c r="H5" s="3" t="s">
        <v>181</v>
      </c>
      <c r="I5" s="3" t="s">
        <v>170</v>
      </c>
      <c r="J5" s="3" t="s">
        <v>171</v>
      </c>
      <c r="K5" s="405"/>
      <c r="M5" s="3" t="s">
        <v>179</v>
      </c>
      <c r="N5" s="3" t="s">
        <v>177</v>
      </c>
      <c r="O5" s="3" t="s">
        <v>166</v>
      </c>
      <c r="Q5" s="3" t="s">
        <v>184</v>
      </c>
      <c r="R5" s="3" t="s">
        <v>186</v>
      </c>
      <c r="S5" s="3" t="s">
        <v>182</v>
      </c>
      <c r="T5" s="213"/>
      <c r="W5" s="147" t="s">
        <v>178</v>
      </c>
      <c r="X5" s="147" t="s">
        <v>205</v>
      </c>
    </row>
    <row r="6" spans="1:24" x14ac:dyDescent="0.3">
      <c r="A6" s="393" t="s">
        <v>5</v>
      </c>
      <c r="B6" s="394"/>
      <c r="C6" s="9">
        <f>IFERROR(HLOOKUP(MONTH($E$1),계획데이터,2,0),"")</f>
        <v>2514</v>
      </c>
      <c r="D6" s="9">
        <f t="shared" ref="D6:D7" si="0">M6</f>
        <v>0</v>
      </c>
      <c r="E6" s="200">
        <f t="shared" ref="E6:E13" si="1">IFERROR(D6/C6,"")</f>
        <v>0</v>
      </c>
      <c r="F6" s="9">
        <f>HLOOKUP(MONTH($E$1),계획데이터,2,0)</f>
        <v>2514</v>
      </c>
      <c r="G6" s="9">
        <f t="shared" ref="G6:G7" si="2">N6</f>
        <v>0</v>
      </c>
      <c r="H6" s="200">
        <f t="shared" ref="H6:H13" si="3">IFERROR(G6/F6,"")</f>
        <v>0</v>
      </c>
      <c r="I6" s="9">
        <f>'3_1. 개발량 계획'!O3</f>
        <v>16722</v>
      </c>
      <c r="J6" s="9">
        <f t="shared" ref="J6:J12" si="4">Q6+N6</f>
        <v>0</v>
      </c>
      <c r="K6" s="9">
        <f t="shared" ref="K6:K12" si="5">O6</f>
        <v>0</v>
      </c>
      <c r="M6" s="203"/>
      <c r="N6" s="8"/>
      <c r="O6" s="8"/>
      <c r="Q6" s="203"/>
      <c r="R6" s="9">
        <f t="shared" ref="R6:R13" si="6">G6+Q6</f>
        <v>0</v>
      </c>
      <c r="S6" s="9">
        <f>'3_2. 개발량 실적'!O15</f>
        <v>0</v>
      </c>
      <c r="T6" s="211" t="b">
        <f t="shared" ref="T6:T13" si="7">EXACT(R6,S6)</f>
        <v>1</v>
      </c>
      <c r="W6" s="195">
        <f>O12</f>
        <v>0</v>
      </c>
      <c r="X6" s="195">
        <f>O12+6</f>
        <v>6</v>
      </c>
    </row>
    <row r="7" spans="1:24" x14ac:dyDescent="0.3">
      <c r="A7" s="393" t="s">
        <v>6</v>
      </c>
      <c r="B7" s="394"/>
      <c r="C7" s="9" t="str">
        <f>IFERROR(HLOOKUP(MONTH($E$1)-1,계획데이터,4,0),"")</f>
        <v/>
      </c>
      <c r="D7" s="9">
        <f t="shared" si="0"/>
        <v>0</v>
      </c>
      <c r="E7" s="200" t="str">
        <f t="shared" si="1"/>
        <v/>
      </c>
      <c r="F7" s="9">
        <f>HLOOKUP(MONTH($E$1),계획데이터,4,0)</f>
        <v>281</v>
      </c>
      <c r="G7" s="9">
        <f t="shared" si="2"/>
        <v>0</v>
      </c>
      <c r="H7" s="200">
        <f t="shared" si="3"/>
        <v>0</v>
      </c>
      <c r="I7" s="9">
        <f>'3_1. 개발량 계획'!O5</f>
        <v>2372</v>
      </c>
      <c r="J7" s="9">
        <f t="shared" si="4"/>
        <v>0</v>
      </c>
      <c r="K7" s="9">
        <f t="shared" si="5"/>
        <v>0</v>
      </c>
      <c r="M7" s="203"/>
      <c r="N7" s="8"/>
      <c r="O7" s="8"/>
      <c r="Q7" s="203"/>
      <c r="R7" s="9">
        <f>G7+Q7</f>
        <v>0</v>
      </c>
      <c r="S7" s="9">
        <f>'3_2. 개발량 실적'!O17</f>
        <v>0</v>
      </c>
      <c r="T7" s="211" t="b">
        <f t="shared" si="7"/>
        <v>1</v>
      </c>
      <c r="W7" s="195">
        <f>SUM(O8:O11,W6)</f>
        <v>0</v>
      </c>
      <c r="X7" s="195">
        <f>SUM(O8:O11,X6)</f>
        <v>6</v>
      </c>
    </row>
    <row r="8" spans="1:24" x14ac:dyDescent="0.3">
      <c r="A8" s="395" t="s">
        <v>7</v>
      </c>
      <c r="B8" s="396"/>
      <c r="C8" s="7" t="str">
        <f>IFERROR(HLOOKUP(MONTH($E$1)-1,계획데이터,6,0),"")</f>
        <v/>
      </c>
      <c r="D8" s="7">
        <f t="shared" ref="D8" si="8">M8</f>
        <v>0</v>
      </c>
      <c r="E8" s="202" t="str">
        <f t="shared" si="1"/>
        <v/>
      </c>
      <c r="F8" s="7">
        <f>HLOOKUP(MONTH($E$1),계획데이터,6,0)</f>
        <v>2795</v>
      </c>
      <c r="G8" s="7">
        <f t="shared" ref="G8:G12" si="9">N8</f>
        <v>0</v>
      </c>
      <c r="H8" s="202">
        <f t="shared" si="3"/>
        <v>0</v>
      </c>
      <c r="I8" s="7">
        <f>'3_1. 개발량 계획'!O7</f>
        <v>19094</v>
      </c>
      <c r="J8" s="7">
        <f t="shared" si="4"/>
        <v>0</v>
      </c>
      <c r="K8" s="7">
        <f t="shared" si="5"/>
        <v>0</v>
      </c>
      <c r="M8" s="203"/>
      <c r="N8" s="7">
        <f t="shared" ref="N8:O8" si="10">SUM(N6:N7)</f>
        <v>0</v>
      </c>
      <c r="O8" s="7">
        <f t="shared" si="10"/>
        <v>0</v>
      </c>
      <c r="Q8" s="203"/>
      <c r="R8" s="7">
        <f t="shared" si="6"/>
        <v>0</v>
      </c>
      <c r="S8" s="7">
        <f>'3_2. 개발량 실적'!O19</f>
        <v>0</v>
      </c>
      <c r="T8" s="211" t="b">
        <f t="shared" si="7"/>
        <v>1</v>
      </c>
      <c r="U8" s="201">
        <f t="shared" ref="U8:V8" si="11">SUM(R6:R7)</f>
        <v>0</v>
      </c>
      <c r="V8" s="201">
        <f t="shared" si="11"/>
        <v>0</v>
      </c>
    </row>
    <row r="9" spans="1:24" x14ac:dyDescent="0.3">
      <c r="A9" s="393" t="s">
        <v>8</v>
      </c>
      <c r="B9" s="394"/>
      <c r="C9" s="9" t="str">
        <f>IFERROR(HLOOKUP(MONTH($E$1)-1,계획데이터,7,0),"")</f>
        <v/>
      </c>
      <c r="D9" s="9">
        <f t="shared" ref="D9:D12" si="12">M9</f>
        <v>0</v>
      </c>
      <c r="E9" s="200" t="str">
        <f t="shared" si="1"/>
        <v/>
      </c>
      <c r="F9" s="9">
        <f>HLOOKUP(MONTH($E$1),계획데이터,7,0)</f>
        <v>66</v>
      </c>
      <c r="G9" s="9">
        <f t="shared" si="9"/>
        <v>0</v>
      </c>
      <c r="H9" s="200">
        <f t="shared" si="3"/>
        <v>0</v>
      </c>
      <c r="I9" s="9">
        <f>'3_1. 개발량 계획'!O8</f>
        <v>868</v>
      </c>
      <c r="J9" s="9">
        <f t="shared" si="4"/>
        <v>0</v>
      </c>
      <c r="K9" s="9">
        <f t="shared" si="5"/>
        <v>0</v>
      </c>
      <c r="M9" s="203"/>
      <c r="N9" s="8"/>
      <c r="O9" s="8"/>
      <c r="Q9" s="203"/>
      <c r="R9" s="9">
        <f t="shared" si="6"/>
        <v>0</v>
      </c>
      <c r="S9" s="9">
        <f>'3_2. 개발량 실적'!O20</f>
        <v>0</v>
      </c>
      <c r="T9" s="211" t="b">
        <f t="shared" si="7"/>
        <v>1</v>
      </c>
    </row>
    <row r="10" spans="1:24" x14ac:dyDescent="0.3">
      <c r="A10" s="393" t="s">
        <v>9</v>
      </c>
      <c r="B10" s="394"/>
      <c r="C10" s="9" t="str">
        <f>IFERROR(HLOOKUP(MONTH($E$1)-1,계획데이터,9,0),"")</f>
        <v/>
      </c>
      <c r="D10" s="9">
        <f t="shared" si="12"/>
        <v>0</v>
      </c>
      <c r="E10" s="200" t="str">
        <f t="shared" si="1"/>
        <v/>
      </c>
      <c r="F10" s="9">
        <f>HLOOKUP(MONTH($E$1),계획데이터,9,0)</f>
        <v>31</v>
      </c>
      <c r="G10" s="9">
        <f t="shared" si="9"/>
        <v>0</v>
      </c>
      <c r="H10" s="200">
        <f t="shared" si="3"/>
        <v>0</v>
      </c>
      <c r="I10" s="9">
        <f>'3_1. 개발량 계획'!O10</f>
        <v>313</v>
      </c>
      <c r="J10" s="9">
        <f t="shared" si="4"/>
        <v>0</v>
      </c>
      <c r="K10" s="9">
        <f t="shared" si="5"/>
        <v>0</v>
      </c>
      <c r="M10" s="203"/>
      <c r="N10" s="8"/>
      <c r="O10" s="8"/>
      <c r="Q10" s="203"/>
      <c r="R10" s="9">
        <f t="shared" si="6"/>
        <v>0</v>
      </c>
      <c r="S10" s="9">
        <f>'3_2. 개발량 실적'!O22</f>
        <v>0</v>
      </c>
      <c r="T10" s="211" t="b">
        <f t="shared" si="7"/>
        <v>1</v>
      </c>
    </row>
    <row r="11" spans="1:24" x14ac:dyDescent="0.3">
      <c r="A11" s="393" t="s">
        <v>10</v>
      </c>
      <c r="B11" s="394"/>
      <c r="C11" s="9" t="str">
        <f>IFERROR(HLOOKUP(MONTH($E$1)-1,계획데이터,11,0),"")</f>
        <v/>
      </c>
      <c r="D11" s="9">
        <f t="shared" si="12"/>
        <v>0</v>
      </c>
      <c r="E11" s="200" t="str">
        <f t="shared" si="1"/>
        <v/>
      </c>
      <c r="F11" s="9">
        <f>HLOOKUP(MONTH($E$1),계획데이터,11,0)</f>
        <v>1</v>
      </c>
      <c r="G11" s="9">
        <f t="shared" si="9"/>
        <v>0</v>
      </c>
      <c r="H11" s="200">
        <f t="shared" si="3"/>
        <v>0</v>
      </c>
      <c r="I11" s="9">
        <f>'3_1. 개발량 계획'!O12</f>
        <v>12</v>
      </c>
      <c r="J11" s="9">
        <f t="shared" si="4"/>
        <v>0</v>
      </c>
      <c r="K11" s="9">
        <f t="shared" si="5"/>
        <v>0</v>
      </c>
      <c r="M11" s="203"/>
      <c r="N11" s="8"/>
      <c r="O11" s="8"/>
      <c r="Q11" s="203"/>
      <c r="R11" s="9">
        <f t="shared" si="6"/>
        <v>0</v>
      </c>
      <c r="S11" s="9">
        <f>'3_2. 개발량 실적'!O24</f>
        <v>0</v>
      </c>
      <c r="T11" s="211" t="b">
        <f t="shared" si="7"/>
        <v>1</v>
      </c>
    </row>
    <row r="12" spans="1:24" x14ac:dyDescent="0.3">
      <c r="A12" s="393" t="s">
        <v>11</v>
      </c>
      <c r="B12" s="394"/>
      <c r="C12" s="9" t="str">
        <f>IFERROR(HLOOKUP(MONTH($E$1)-1,계획데이터,13,0),"")</f>
        <v/>
      </c>
      <c r="D12" s="9">
        <f t="shared" si="12"/>
        <v>0</v>
      </c>
      <c r="E12" s="200" t="str">
        <f t="shared" si="1"/>
        <v/>
      </c>
      <c r="F12" s="9">
        <f>HLOOKUP(MONTH($E$1),계획데이터,13,0)</f>
        <v>0</v>
      </c>
      <c r="G12" s="9">
        <f t="shared" si="9"/>
        <v>0</v>
      </c>
      <c r="H12" s="200" t="str">
        <f t="shared" si="3"/>
        <v/>
      </c>
      <c r="I12" s="9">
        <f>'3_1. 개발량 계획'!O14</f>
        <v>7</v>
      </c>
      <c r="J12" s="9">
        <f t="shared" si="4"/>
        <v>0</v>
      </c>
      <c r="K12" s="9">
        <f t="shared" si="5"/>
        <v>0</v>
      </c>
      <c r="M12" s="203"/>
      <c r="N12" s="8"/>
      <c r="O12" s="8"/>
      <c r="Q12" s="203"/>
      <c r="R12" s="9">
        <f t="shared" si="6"/>
        <v>0</v>
      </c>
      <c r="S12" s="9">
        <f>'3_2. 개발량 실적'!O26</f>
        <v>0</v>
      </c>
      <c r="T12" s="211" t="b">
        <f t="shared" si="7"/>
        <v>1</v>
      </c>
    </row>
    <row r="13" spans="1:24" x14ac:dyDescent="0.3">
      <c r="A13" s="395" t="s">
        <v>12</v>
      </c>
      <c r="B13" s="396"/>
      <c r="C13" s="7" t="str">
        <f>IFERROR(HLOOKUP(MONTH($E$1)-1,계획데이터,15,0),"")</f>
        <v/>
      </c>
      <c r="D13" s="7">
        <f>M13</f>
        <v>0</v>
      </c>
      <c r="E13" s="202" t="str">
        <f t="shared" si="1"/>
        <v/>
      </c>
      <c r="F13" s="7">
        <f>HLOOKUP(MONTH($E$1),계획데이터,15,0)</f>
        <v>2893</v>
      </c>
      <c r="G13" s="7">
        <f>N13</f>
        <v>0</v>
      </c>
      <c r="H13" s="202">
        <f t="shared" si="3"/>
        <v>0</v>
      </c>
      <c r="I13" s="7">
        <f>'3_1. 개발량 계획'!O16</f>
        <v>20294</v>
      </c>
      <c r="J13" s="7">
        <f>Q13+N13</f>
        <v>0</v>
      </c>
      <c r="K13" s="7">
        <f>O13</f>
        <v>0</v>
      </c>
      <c r="M13" s="203"/>
      <c r="N13" s="209">
        <f>SUM(N8:N12)</f>
        <v>0</v>
      </c>
      <c r="O13" s="209">
        <f>SUM(O8:O12)</f>
        <v>0</v>
      </c>
      <c r="Q13" s="203"/>
      <c r="R13" s="9">
        <f t="shared" si="6"/>
        <v>0</v>
      </c>
      <c r="S13" s="9">
        <f>'3_2. 개발량 실적'!O28</f>
        <v>0</v>
      </c>
      <c r="T13" s="211" t="b">
        <f t="shared" si="7"/>
        <v>1</v>
      </c>
    </row>
    <row r="14" spans="1:24" x14ac:dyDescent="0.3">
      <c r="C14" s="201" t="b">
        <f>C8=SUM(C6:C7)</f>
        <v>0</v>
      </c>
      <c r="D14" s="201" t="b">
        <f>D8=SUM(D6:D7)</f>
        <v>1</v>
      </c>
      <c r="F14" s="201" t="b">
        <f>F8=SUM(F6:F7)</f>
        <v>1</v>
      </c>
      <c r="G14" s="201" t="b">
        <f>G8=SUM(G6:G7)</f>
        <v>1</v>
      </c>
      <c r="I14" s="201" t="b">
        <f>I8=SUM(I6:I7)</f>
        <v>1</v>
      </c>
      <c r="J14" s="201" t="b">
        <f>J8=SUM(J6:J7)</f>
        <v>1</v>
      </c>
      <c r="K14" s="201" t="b">
        <f>K8=SUM(K6:K7)</f>
        <v>1</v>
      </c>
      <c r="M14" s="201" t="b">
        <f t="shared" ref="M14:O14" si="13">M8=SUM(M6:M7)</f>
        <v>1</v>
      </c>
      <c r="N14" s="201" t="b">
        <f t="shared" si="13"/>
        <v>1</v>
      </c>
      <c r="O14" s="201" t="b">
        <f t="shared" si="13"/>
        <v>1</v>
      </c>
      <c r="Q14" s="201" t="b">
        <f t="shared" ref="Q14:S14" si="14">Q8=SUM(Q6:Q7)</f>
        <v>1</v>
      </c>
      <c r="R14" s="201" t="b">
        <f t="shared" si="14"/>
        <v>1</v>
      </c>
      <c r="S14" s="201" t="b">
        <f t="shared" si="14"/>
        <v>1</v>
      </c>
    </row>
    <row r="15" spans="1:24" x14ac:dyDescent="0.3">
      <c r="C15" s="201" t="b">
        <f>C13=SUM(C8:C12)</f>
        <v>0</v>
      </c>
      <c r="D15" s="201" t="b">
        <f>D13=SUM(D8:D12)</f>
        <v>1</v>
      </c>
      <c r="F15" s="201" t="b">
        <f>F13=SUM(F8:F12)</f>
        <v>1</v>
      </c>
      <c r="G15" s="201" t="b">
        <f>G13=SUM(G8:G12)</f>
        <v>1</v>
      </c>
      <c r="I15" s="201" t="b">
        <f>I13=SUM(I8:I12)</f>
        <v>1</v>
      </c>
      <c r="J15" s="201" t="b">
        <f>J13=SUM(J8:J12)</f>
        <v>1</v>
      </c>
      <c r="K15" s="201" t="b">
        <f>K13=SUM(K8:K12)</f>
        <v>1</v>
      </c>
      <c r="M15" s="201" t="b">
        <f t="shared" ref="M15:O15" si="15">M13=SUM(M8:M12)</f>
        <v>1</v>
      </c>
      <c r="N15" s="201" t="b">
        <f t="shared" si="15"/>
        <v>1</v>
      </c>
      <c r="O15" s="201" t="b">
        <f t="shared" si="15"/>
        <v>1</v>
      </c>
      <c r="Q15" s="201" t="b">
        <f t="shared" ref="Q15:S15" si="16">Q13=SUM(Q8:Q12)</f>
        <v>1</v>
      </c>
      <c r="R15" s="201" t="b">
        <f t="shared" si="16"/>
        <v>1</v>
      </c>
      <c r="S15" s="201" t="b">
        <f t="shared" si="16"/>
        <v>1</v>
      </c>
    </row>
    <row r="16" spans="1:24" x14ac:dyDescent="0.3">
      <c r="M16" s="214" t="s">
        <v>180</v>
      </c>
      <c r="N16" s="215"/>
      <c r="O16" s="215"/>
      <c r="Q16" s="214" t="s">
        <v>187</v>
      </c>
      <c r="R16" s="215"/>
      <c r="S16" s="215"/>
      <c r="T16" s="215"/>
    </row>
    <row r="18" spans="1:10" x14ac:dyDescent="0.3">
      <c r="A18" s="5" t="s">
        <v>296</v>
      </c>
      <c r="B18" s="5"/>
      <c r="C18" t="s">
        <v>206</v>
      </c>
    </row>
    <row r="19" spans="1:10" x14ac:dyDescent="0.3">
      <c r="A19" s="406" t="s">
        <v>3</v>
      </c>
      <c r="B19" s="407"/>
      <c r="C19" s="4" t="s">
        <v>164</v>
      </c>
      <c r="D19" s="4"/>
      <c r="E19" s="4"/>
      <c r="F19" s="4" t="str">
        <f>MONTH($E$1)&amp;"월"</f>
        <v>1월</v>
      </c>
      <c r="G19" s="4"/>
      <c r="H19" s="4"/>
      <c r="I19" s="4" t="s">
        <v>173</v>
      </c>
      <c r="J19" s="4"/>
    </row>
    <row r="20" spans="1:10" x14ac:dyDescent="0.3">
      <c r="A20" s="408"/>
      <c r="B20" s="409"/>
      <c r="C20" s="3" t="s">
        <v>167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188</v>
      </c>
      <c r="I20" s="3" t="s">
        <v>170</v>
      </c>
      <c r="J20" s="3" t="s">
        <v>189</v>
      </c>
    </row>
    <row r="21" spans="1:10" x14ac:dyDescent="0.3">
      <c r="A21" s="393" t="s">
        <v>5</v>
      </c>
      <c r="B21" s="394"/>
      <c r="C21" s="9" t="str">
        <f>IFERROR(HLOOKUP(MONTH($E$1)-1,계획데이터,20,0),"")</f>
        <v/>
      </c>
      <c r="D21" s="9" t="str">
        <f>IFERROR(HLOOKUP(MONTH($E$1)-1,실적데이터,26,0),"")</f>
        <v/>
      </c>
      <c r="E21" s="200" t="str">
        <f t="shared" ref="E21:E29" si="17">IFERROR(D21/C21,"")</f>
        <v/>
      </c>
      <c r="F21" s="9">
        <f>HLOOKUP(MONTH($E$1),계획데이터,20,0)</f>
        <v>119164</v>
      </c>
      <c r="G21" s="9">
        <f>HLOOKUP(MONTH($E$1),실적데이터,26,0)</f>
        <v>0</v>
      </c>
      <c r="H21" s="200">
        <f t="shared" ref="H21:H29" si="18">IFERROR(G21/F21,"")</f>
        <v>0</v>
      </c>
      <c r="I21" s="9">
        <f>'3_1. 개발량 계획'!O22</f>
        <v>5590728</v>
      </c>
      <c r="J21" s="9">
        <f>'3_2. 개발량 실적'!O40</f>
        <v>0</v>
      </c>
    </row>
    <row r="22" spans="1:10" x14ac:dyDescent="0.3">
      <c r="A22" s="393" t="s">
        <v>6</v>
      </c>
      <c r="B22" s="394"/>
      <c r="C22" s="9" t="str">
        <f>IFERROR(HLOOKUP(MONTH($E$1)-1,계획데이터,23,0),"")</f>
        <v/>
      </c>
      <c r="D22" s="9" t="str">
        <f>IFERROR(HLOOKUP(MONTH($E$1)-1,실적데이터,29,0),"")</f>
        <v/>
      </c>
      <c r="E22" s="200" t="str">
        <f t="shared" si="17"/>
        <v/>
      </c>
      <c r="F22" s="9">
        <f>HLOOKUP(MONTH($E$1),계획데이터,23,0)</f>
        <v>11746</v>
      </c>
      <c r="G22" s="9">
        <f>HLOOKUP(MONTH($E$1),실적데이터,29,0)</f>
        <v>0</v>
      </c>
      <c r="H22" s="200">
        <f t="shared" si="18"/>
        <v>0</v>
      </c>
      <c r="I22" s="9">
        <f>'3_1. 개발량 계획'!O25</f>
        <v>616215</v>
      </c>
      <c r="J22" s="9">
        <f>'3_2. 개발량 실적'!O43</f>
        <v>0</v>
      </c>
    </row>
    <row r="23" spans="1:10" x14ac:dyDescent="0.3">
      <c r="A23" s="395" t="s">
        <v>7</v>
      </c>
      <c r="B23" s="396"/>
      <c r="C23" s="7" t="str">
        <f>IFERROR(HLOOKUP(MONTH($E$1)-1,계획데이터,26,0),"")</f>
        <v/>
      </c>
      <c r="D23" s="7" t="str">
        <f>IFERROR(HLOOKUP(MONTH($E$1)-1,실적데이터,32,0),"")</f>
        <v/>
      </c>
      <c r="E23" s="202" t="str">
        <f t="shared" si="17"/>
        <v/>
      </c>
      <c r="F23" s="7">
        <f>HLOOKUP(MONTH($E$1),계획데이터,26,0)</f>
        <v>130910</v>
      </c>
      <c r="G23" s="7">
        <f>HLOOKUP(MONTH($E$1),실적데이터,32,0)</f>
        <v>0</v>
      </c>
      <c r="H23" s="202">
        <f t="shared" si="18"/>
        <v>0</v>
      </c>
      <c r="I23" s="7">
        <f>'3_1. 개발량 계획'!O28</f>
        <v>6206943</v>
      </c>
      <c r="J23" s="7">
        <f>'3_2. 개발량 실적'!O46</f>
        <v>0</v>
      </c>
    </row>
    <row r="24" spans="1:10" x14ac:dyDescent="0.3">
      <c r="A24" s="393" t="s">
        <v>8</v>
      </c>
      <c r="B24" s="394"/>
      <c r="C24" s="9" t="str">
        <f>IFERROR(HLOOKUP(MONTH($E$1)-1,계획데이터,29,0),"")</f>
        <v/>
      </c>
      <c r="D24" s="9" t="str">
        <f>IFERROR(HLOOKUP(MONTH($E$1)-1,실적데이터,35,0),"")</f>
        <v/>
      </c>
      <c r="E24" s="200" t="str">
        <f t="shared" si="17"/>
        <v/>
      </c>
      <c r="F24" s="9">
        <f>HLOOKUP(MONTH($E$1),계획데이터,29,0)</f>
        <v>13233</v>
      </c>
      <c r="G24" s="9">
        <f>HLOOKUP(MONTH($E$1),실적데이터,35,0)</f>
        <v>0</v>
      </c>
      <c r="H24" s="200">
        <f t="shared" si="18"/>
        <v>0</v>
      </c>
      <c r="I24" s="9">
        <f>'3_1. 개발량 계획'!O31</f>
        <v>1072294</v>
      </c>
      <c r="J24" s="9">
        <f>'3_2. 개발량 실적'!O49</f>
        <v>0</v>
      </c>
    </row>
    <row r="25" spans="1:10" x14ac:dyDescent="0.3">
      <c r="A25" s="393" t="s">
        <v>9</v>
      </c>
      <c r="B25" s="394"/>
      <c r="C25" s="9" t="str">
        <f>IFERROR(HLOOKUP(MONTH($E$1)-1,계획데이터,32,0),"")</f>
        <v/>
      </c>
      <c r="D25" s="9" t="str">
        <f>IFERROR(HLOOKUP(MONTH($E$1)-1,실적데이터,38,0),"")</f>
        <v/>
      </c>
      <c r="E25" s="200" t="str">
        <f t="shared" si="17"/>
        <v/>
      </c>
      <c r="F25" s="9">
        <f>HLOOKUP(MONTH($E$1),계획데이터,32,0)</f>
        <v>12720</v>
      </c>
      <c r="G25" s="9">
        <f>HLOOKUP(MONTH($E$1),실적데이터,38,0)</f>
        <v>0</v>
      </c>
      <c r="H25" s="200">
        <f t="shared" si="18"/>
        <v>0</v>
      </c>
      <c r="I25" s="9">
        <f>'3_1. 개발량 계획'!O34</f>
        <v>1145237</v>
      </c>
      <c r="J25" s="9">
        <f>'3_2. 개발량 실적'!O52</f>
        <v>0</v>
      </c>
    </row>
    <row r="26" spans="1:10" x14ac:dyDescent="0.3">
      <c r="A26" s="393" t="s">
        <v>10</v>
      </c>
      <c r="B26" s="394"/>
      <c r="C26" s="9" t="str">
        <f>IFERROR(HLOOKUP(MONTH($E$1)-1,계획데이터,35,0),"")</f>
        <v/>
      </c>
      <c r="D26" s="9" t="str">
        <f>IFERROR(HLOOKUP(MONTH($E$1)-1,실적데이터,41,0),"")</f>
        <v/>
      </c>
      <c r="E26" s="200" t="str">
        <f t="shared" si="17"/>
        <v/>
      </c>
      <c r="F26" s="9">
        <f>HLOOKUP(MONTH($E$1),계획데이터,35,0)</f>
        <v>5000</v>
      </c>
      <c r="G26" s="9">
        <f>HLOOKUP(MONTH($E$1),실적데이터,41,0)</f>
        <v>0</v>
      </c>
      <c r="H26" s="200">
        <f t="shared" si="18"/>
        <v>0</v>
      </c>
      <c r="I26" s="9">
        <f>'3_1. 개발량 계획'!O37</f>
        <v>540000</v>
      </c>
      <c r="J26" s="9">
        <f>'3_2. 개발량 실적'!O55</f>
        <v>0</v>
      </c>
    </row>
    <row r="27" spans="1:10" x14ac:dyDescent="0.3">
      <c r="A27" s="393" t="s">
        <v>11</v>
      </c>
      <c r="B27" s="394"/>
      <c r="C27" s="9" t="str">
        <f>IFERROR(HLOOKUP(MONTH($E$1)-1,계획데이터,38,0),"")</f>
        <v/>
      </c>
      <c r="D27" s="9" t="str">
        <f>IFERROR(HLOOKUP(MONTH($E$1)-1,실적데이터,44,0),"")</f>
        <v/>
      </c>
      <c r="E27" s="200" t="str">
        <f t="shared" si="17"/>
        <v/>
      </c>
      <c r="F27" s="9">
        <f>HLOOKUP(MONTH($E$1),계획데이터,38,0)</f>
        <v>0</v>
      </c>
      <c r="G27" s="9">
        <f>HLOOKUP(MONTH($E$1),실적데이터,44,0)</f>
        <v>0</v>
      </c>
      <c r="H27" s="200" t="str">
        <f t="shared" si="18"/>
        <v/>
      </c>
      <c r="I27" s="9">
        <f>'3_1. 개발량 계획'!O40</f>
        <v>0</v>
      </c>
      <c r="J27" s="9">
        <f>'3_2. 개발량 실적'!O58</f>
        <v>0</v>
      </c>
    </row>
    <row r="28" spans="1:10" x14ac:dyDescent="0.3">
      <c r="A28" s="395" t="s">
        <v>23</v>
      </c>
      <c r="B28" s="396"/>
      <c r="C28" s="7" t="str">
        <f>IFERROR(HLOOKUP(MONTH($E$1)-1,계획데이터,44,0),"")</f>
        <v/>
      </c>
      <c r="D28" s="7" t="str">
        <f>IFERROR(HLOOKUP(MONTH($E$1)-1,실적데이터,50,0),"")</f>
        <v/>
      </c>
      <c r="E28" s="202" t="str">
        <f t="shared" si="17"/>
        <v/>
      </c>
      <c r="F28" s="7">
        <f>HLOOKUP(MONTH($E$1),계획데이터,44,0)</f>
        <v>161863</v>
      </c>
      <c r="G28" s="7">
        <f>HLOOKUP(MONTH($E$1),실적데이터,50,0)</f>
        <v>0</v>
      </c>
      <c r="H28" s="202">
        <f t="shared" si="18"/>
        <v>0</v>
      </c>
      <c r="I28" s="7">
        <f>'3_1. 개발량 계획'!O46</f>
        <v>8964474</v>
      </c>
      <c r="J28" s="7">
        <f>'3_2. 개발량 실적'!O64</f>
        <v>0</v>
      </c>
    </row>
    <row r="29" spans="1:10" x14ac:dyDescent="0.3">
      <c r="A29" s="395" t="s">
        <v>172</v>
      </c>
      <c r="B29" s="396"/>
      <c r="C29" s="7" t="str">
        <f>IFERROR(HLOOKUP(MONTH($E$1)-1,계획데이터,81,0),"")</f>
        <v/>
      </c>
      <c r="D29" s="7" t="str">
        <f>IFERROR(HLOOKUP(MONTH($E$1)-1,실적데이터,80,0),"")</f>
        <v/>
      </c>
      <c r="E29" s="202" t="str">
        <f t="shared" si="17"/>
        <v/>
      </c>
      <c r="F29" s="7">
        <f>HLOOKUP(MONTH($E$1),계획데이터,81,0)</f>
        <v>6857825</v>
      </c>
      <c r="G29" s="7">
        <f>HLOOKUP(MONTH($E$1),실적데이터,80,0)</f>
        <v>0</v>
      </c>
      <c r="H29" s="202">
        <f t="shared" si="18"/>
        <v>0</v>
      </c>
      <c r="I29" s="7">
        <f>'3_1. 개발량 계획'!O83</f>
        <v>379801228</v>
      </c>
      <c r="J29" s="7">
        <f>'3_2. 개발량 실적'!O94</f>
        <v>0</v>
      </c>
    </row>
    <row r="30" spans="1:10" x14ac:dyDescent="0.3">
      <c r="C30" s="204" t="b">
        <f>C23=SUM(C21:C22)</f>
        <v>0</v>
      </c>
      <c r="D30" s="204" t="b">
        <f>D23=SUM(D21:D22)</f>
        <v>0</v>
      </c>
      <c r="F30" s="204" t="b">
        <f>F23=SUM(F21:F22)</f>
        <v>1</v>
      </c>
      <c r="G30" s="204" t="b">
        <f>G23=SUM(G21:G22)</f>
        <v>1</v>
      </c>
      <c r="I30" s="204" t="b">
        <f>I23=SUM(I21:I22)</f>
        <v>1</v>
      </c>
      <c r="J30" s="204" t="b">
        <f>J23=SUM(J21:J22)</f>
        <v>1</v>
      </c>
    </row>
    <row r="31" spans="1:10" x14ac:dyDescent="0.3">
      <c r="C31" s="204" t="b">
        <f>C28=SUM(C23:C27)</f>
        <v>0</v>
      </c>
      <c r="D31" s="204" t="b">
        <f>D28=SUM(D23:D27)</f>
        <v>0</v>
      </c>
      <c r="F31" s="204" t="b">
        <f>F28=SUM(F23:F27)</f>
        <v>1</v>
      </c>
      <c r="G31" s="204" t="b">
        <f>G28=SUM(G23:G27)</f>
        <v>1</v>
      </c>
      <c r="I31" s="204" t="b">
        <f>I28=SUM(I23:I27)</f>
        <v>1</v>
      </c>
      <c r="J31" s="204" t="b">
        <f>J28=SUM(J23:J27)</f>
        <v>1</v>
      </c>
    </row>
    <row r="32" spans="1:10" x14ac:dyDescent="0.3">
      <c r="C32" s="296" t="str">
        <f>IFERROR(C29/C28,"")</f>
        <v/>
      </c>
      <c r="D32" s="296" t="str">
        <f>IFERROR(D29/D28,"")</f>
        <v/>
      </c>
      <c r="F32" s="296">
        <f t="shared" ref="F32:J32" si="19">F29/F28</f>
        <v>42.368082884908844</v>
      </c>
      <c r="G32" s="296" t="e">
        <f t="shared" si="19"/>
        <v>#DIV/0!</v>
      </c>
      <c r="I32" s="296">
        <f t="shared" si="19"/>
        <v>42.367374594426842</v>
      </c>
      <c r="J32" s="296" t="e">
        <f t="shared" si="19"/>
        <v>#DIV/0!</v>
      </c>
    </row>
    <row r="34" spans="1:15" x14ac:dyDescent="0.3">
      <c r="A34" s="5" t="s">
        <v>201</v>
      </c>
      <c r="B34" s="5"/>
    </row>
    <row r="35" spans="1:15" x14ac:dyDescent="0.3">
      <c r="A35" s="416" t="s">
        <v>3</v>
      </c>
      <c r="B35" s="416"/>
      <c r="C35" s="4" t="s">
        <v>174</v>
      </c>
      <c r="D35" s="4"/>
      <c r="E35" s="4"/>
      <c r="F35" s="4" t="str">
        <f>MONTH($E$1)&amp;"월"</f>
        <v>1월</v>
      </c>
      <c r="G35" s="4"/>
    </row>
    <row r="36" spans="1:15" x14ac:dyDescent="0.3">
      <c r="A36" s="416"/>
      <c r="B36" s="416"/>
      <c r="C36" s="3" t="s">
        <v>167</v>
      </c>
      <c r="D36" s="3" t="s">
        <v>168</v>
      </c>
      <c r="E36" s="3" t="s">
        <v>169</v>
      </c>
      <c r="F36" s="3" t="s">
        <v>168</v>
      </c>
      <c r="G36" s="3" t="s">
        <v>175</v>
      </c>
    </row>
    <row r="37" spans="1:15" x14ac:dyDescent="0.3">
      <c r="A37" s="419" t="s">
        <v>202</v>
      </c>
      <c r="B37" s="419"/>
      <c r="C37" s="9">
        <v>1117503</v>
      </c>
      <c r="D37" s="8"/>
      <c r="E37" s="200">
        <f t="shared" ref="E37:E38" si="20">D37/C37</f>
        <v>0</v>
      </c>
      <c r="F37" s="8"/>
      <c r="G37" s="418">
        <v>0.80549999999999999</v>
      </c>
    </row>
    <row r="38" spans="1:15" x14ac:dyDescent="0.3">
      <c r="A38" s="419" t="s">
        <v>203</v>
      </c>
      <c r="B38" s="419"/>
      <c r="C38" s="9">
        <v>47722728</v>
      </c>
      <c r="D38" s="8"/>
      <c r="E38" s="200">
        <f t="shared" si="20"/>
        <v>0</v>
      </c>
      <c r="F38" s="8"/>
      <c r="G38" s="418"/>
    </row>
    <row r="41" spans="1:15" x14ac:dyDescent="0.3">
      <c r="A41" s="5" t="s">
        <v>190</v>
      </c>
    </row>
    <row r="42" spans="1:15" x14ac:dyDescent="0.3">
      <c r="A42" s="416" t="s">
        <v>199</v>
      </c>
      <c r="B42" s="416"/>
      <c r="C42" s="416" t="s">
        <v>193</v>
      </c>
      <c r="D42" s="416"/>
      <c r="E42" s="416"/>
      <c r="F42" s="416" t="s">
        <v>194</v>
      </c>
      <c r="G42" s="416"/>
      <c r="H42" s="416"/>
      <c r="I42" s="416" t="s">
        <v>207</v>
      </c>
      <c r="J42" s="416"/>
      <c r="K42" s="416"/>
    </row>
    <row r="43" spans="1:15" x14ac:dyDescent="0.3">
      <c r="A43" s="416"/>
      <c r="B43" s="416"/>
      <c r="C43" s="404" t="s">
        <v>195</v>
      </c>
      <c r="D43" s="199" t="s">
        <v>196</v>
      </c>
      <c r="E43" s="199" t="s">
        <v>197</v>
      </c>
      <c r="F43" s="404" t="s">
        <v>191</v>
      </c>
      <c r="G43" s="199" t="s">
        <v>192</v>
      </c>
      <c r="H43" s="199" t="s">
        <v>198</v>
      </c>
      <c r="I43" s="404" t="s">
        <v>191</v>
      </c>
      <c r="J43" s="210" t="s">
        <v>192</v>
      </c>
      <c r="K43" s="210" t="s">
        <v>198</v>
      </c>
    </row>
    <row r="44" spans="1:15" x14ac:dyDescent="0.3">
      <c r="A44" s="417" t="s">
        <v>200</v>
      </c>
      <c r="B44" s="417"/>
      <c r="C44" s="405"/>
      <c r="D44" s="206">
        <f t="shared" ref="D44" si="21">SUM(D45:D53)</f>
        <v>0</v>
      </c>
      <c r="E44" s="206">
        <f>ROUND(SUM(E45:E53),0)</f>
        <v>0</v>
      </c>
      <c r="F44" s="405"/>
      <c r="G44" s="206">
        <f t="shared" ref="G44" si="22">SUM(G45:G53)</f>
        <v>0</v>
      </c>
      <c r="H44" s="208">
        <f>ROUND(SUM(H45:H53),0)</f>
        <v>0</v>
      </c>
      <c r="I44" s="405"/>
      <c r="J44" s="206">
        <f t="shared" ref="J44" si="23">SUM(J45:J53)</f>
        <v>0</v>
      </c>
      <c r="K44" s="208">
        <f>ROUND(SUM(K45:K53),0)</f>
        <v>0</v>
      </c>
      <c r="O44" s="372"/>
    </row>
    <row r="45" spans="1:15" x14ac:dyDescent="0.3">
      <c r="A45" s="410" t="s">
        <v>204</v>
      </c>
      <c r="B45" s="411"/>
      <c r="C45" s="207"/>
      <c r="D45" s="8"/>
      <c r="E45" s="8"/>
      <c r="F45" s="207"/>
      <c r="G45" s="8"/>
      <c r="H45" s="8"/>
      <c r="I45" s="207"/>
      <c r="J45" s="8"/>
      <c r="K45" s="8"/>
      <c r="O45" s="372"/>
    </row>
    <row r="46" spans="1:15" x14ac:dyDescent="0.3">
      <c r="A46" s="412"/>
      <c r="B46" s="413"/>
      <c r="C46" s="207"/>
      <c r="D46" s="8"/>
      <c r="E46" s="8"/>
      <c r="F46" s="207"/>
      <c r="G46" s="8"/>
      <c r="H46" s="8"/>
      <c r="I46" s="207"/>
      <c r="J46" s="8"/>
      <c r="K46" s="8"/>
      <c r="O46" s="372"/>
    </row>
    <row r="47" spans="1:15" x14ac:dyDescent="0.3">
      <c r="A47" s="412"/>
      <c r="B47" s="413"/>
      <c r="C47" s="207"/>
      <c r="D47" s="8"/>
      <c r="E47" s="8"/>
      <c r="F47" s="207"/>
      <c r="G47" s="8"/>
      <c r="H47" s="8"/>
      <c r="I47" s="207"/>
      <c r="J47" s="8"/>
      <c r="K47" s="8"/>
      <c r="O47" s="372"/>
    </row>
    <row r="48" spans="1:15" x14ac:dyDescent="0.3">
      <c r="A48" s="412"/>
      <c r="B48" s="413"/>
      <c r="C48" s="207"/>
      <c r="D48" s="8"/>
      <c r="E48" s="8"/>
      <c r="F48" s="207"/>
      <c r="G48" s="8"/>
      <c r="H48" s="8"/>
      <c r="I48" s="207"/>
      <c r="J48" s="8"/>
      <c r="K48" s="8"/>
    </row>
    <row r="49" spans="1:11" x14ac:dyDescent="0.3">
      <c r="A49" s="412"/>
      <c r="B49" s="413"/>
      <c r="C49" s="207"/>
      <c r="D49" s="8"/>
      <c r="E49" s="8"/>
      <c r="F49" s="207"/>
      <c r="G49" s="8"/>
      <c r="H49" s="8"/>
      <c r="I49" s="207"/>
      <c r="J49" s="8"/>
      <c r="K49" s="8"/>
    </row>
    <row r="50" spans="1:11" x14ac:dyDescent="0.3">
      <c r="A50" s="412"/>
      <c r="B50" s="413"/>
      <c r="C50" s="207"/>
      <c r="D50" s="8"/>
      <c r="E50" s="8"/>
      <c r="F50" s="207"/>
      <c r="G50" s="8"/>
      <c r="H50" s="8"/>
      <c r="I50" s="207"/>
      <c r="J50" s="8"/>
      <c r="K50" s="8"/>
    </row>
    <row r="51" spans="1:11" x14ac:dyDescent="0.3">
      <c r="A51" s="412"/>
      <c r="B51" s="413"/>
      <c r="C51" s="207"/>
      <c r="D51" s="8"/>
      <c r="E51" s="8"/>
      <c r="F51" s="207"/>
      <c r="G51" s="8"/>
      <c r="H51" s="8"/>
      <c r="I51" s="207"/>
      <c r="J51" s="8"/>
      <c r="K51" s="8"/>
    </row>
    <row r="52" spans="1:11" x14ac:dyDescent="0.3">
      <c r="A52" s="412"/>
      <c r="B52" s="413"/>
      <c r="C52" s="207"/>
      <c r="D52" s="8"/>
      <c r="E52" s="8"/>
      <c r="F52" s="207"/>
      <c r="G52" s="8"/>
      <c r="H52" s="8"/>
      <c r="I52" s="207"/>
      <c r="J52" s="8"/>
      <c r="K52" s="8"/>
    </row>
    <row r="53" spans="1:11" x14ac:dyDescent="0.3">
      <c r="A53" s="414"/>
      <c r="B53" s="415"/>
      <c r="C53" s="207"/>
      <c r="D53" s="8"/>
      <c r="E53" s="8"/>
      <c r="F53" s="207"/>
      <c r="G53" s="8"/>
      <c r="H53" s="8"/>
      <c r="I53" s="207"/>
      <c r="J53" s="8"/>
      <c r="K53" s="8"/>
    </row>
  </sheetData>
  <mergeCells count="35">
    <mergeCell ref="I42:K42"/>
    <mergeCell ref="I43:I44"/>
    <mergeCell ref="G37:G38"/>
    <mergeCell ref="A19:B20"/>
    <mergeCell ref="A29:B29"/>
    <mergeCell ref="A35:B36"/>
    <mergeCell ref="A37:B37"/>
    <mergeCell ref="A38:B38"/>
    <mergeCell ref="A27:B27"/>
    <mergeCell ref="A28:B28"/>
    <mergeCell ref="A21:B21"/>
    <mergeCell ref="A22:B22"/>
    <mergeCell ref="A23:B23"/>
    <mergeCell ref="A24:B24"/>
    <mergeCell ref="A25:B25"/>
    <mergeCell ref="A26:B26"/>
    <mergeCell ref="A45:B53"/>
    <mergeCell ref="C42:E42"/>
    <mergeCell ref="F42:H42"/>
    <mergeCell ref="A42:B43"/>
    <mergeCell ref="A44:B44"/>
    <mergeCell ref="C43:C44"/>
    <mergeCell ref="F43:F44"/>
    <mergeCell ref="A10:B10"/>
    <mergeCell ref="A11:B11"/>
    <mergeCell ref="A12:B12"/>
    <mergeCell ref="A13:B13"/>
    <mergeCell ref="Q4:S4"/>
    <mergeCell ref="M4:O4"/>
    <mergeCell ref="K4:K5"/>
    <mergeCell ref="A4:B5"/>
    <mergeCell ref="A6:B6"/>
    <mergeCell ref="A7:B7"/>
    <mergeCell ref="A8:B8"/>
    <mergeCell ref="A9:B9"/>
  </mergeCells>
  <phoneticPr fontId="1" type="noConversion"/>
  <conditionalFormatting sqref="T6:T13">
    <cfRule type="containsText" dxfId="27" priority="3" operator="containsText" text="FALSE">
      <formula>NOT(ISERROR(SEARCH("FALSE",T6)))</formula>
    </cfRule>
  </conditionalFormatting>
  <conditionalFormatting sqref="C14:S15">
    <cfRule type="containsText" dxfId="26" priority="2" operator="containsText" text="false">
      <formula>NOT(ISERROR(SEARCH("false",C14)))</formula>
    </cfRule>
  </conditionalFormatting>
  <conditionalFormatting sqref="C30:J31">
    <cfRule type="containsText" dxfId="25" priority="1" operator="containsText" text="false">
      <formula>NOT(ISERROR(SEARCH("false",C30)))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FF00"/>
  </sheetPr>
  <dimension ref="A1:O48"/>
  <sheetViews>
    <sheetView zoomScale="85" zoomScaleNormal="85" workbookViewId="0">
      <selection activeCell="A2" sqref="A2"/>
    </sheetView>
  </sheetViews>
  <sheetFormatPr defaultRowHeight="16.5" x14ac:dyDescent="0.3"/>
  <cols>
    <col min="1" max="2" width="12.375" customWidth="1"/>
    <col min="3" max="15" width="16.25" customWidth="1"/>
  </cols>
  <sheetData>
    <row r="1" spans="1:15" ht="33.75" customHeight="1" thickBot="1" x14ac:dyDescent="0.35">
      <c r="A1" s="1" t="s">
        <v>377</v>
      </c>
      <c r="B1" s="1"/>
      <c r="F1" s="2" t="s">
        <v>1</v>
      </c>
    </row>
    <row r="3" spans="1:15" x14ac:dyDescent="0.3">
      <c r="A3" s="5" t="s">
        <v>2</v>
      </c>
      <c r="B3" s="5"/>
    </row>
    <row r="4" spans="1:15" x14ac:dyDescent="0.3">
      <c r="A4" s="406" t="s">
        <v>3</v>
      </c>
      <c r="B4" s="407"/>
      <c r="C4" s="4" t="s">
        <v>4</v>
      </c>
      <c r="D4" s="4"/>
      <c r="E4" s="4"/>
      <c r="F4" s="4"/>
      <c r="G4" s="4"/>
      <c r="H4" s="4"/>
      <c r="I4" s="4" t="s">
        <v>13</v>
      </c>
      <c r="J4" s="4"/>
      <c r="K4" s="4"/>
      <c r="L4" s="4"/>
      <c r="M4" s="4"/>
      <c r="N4" s="4"/>
      <c r="O4" s="404" t="s">
        <v>14</v>
      </c>
    </row>
    <row r="5" spans="1:15" x14ac:dyDescent="0.3">
      <c r="A5" s="408"/>
      <c r="B5" s="409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405"/>
    </row>
    <row r="6" spans="1:15" x14ac:dyDescent="0.3">
      <c r="A6" s="393" t="s">
        <v>5</v>
      </c>
      <c r="B6" s="394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>
        <f t="shared" ref="O6:O13" si="0">SUM(C6:N6)</f>
        <v>0</v>
      </c>
    </row>
    <row r="7" spans="1:15" x14ac:dyDescent="0.3">
      <c r="A7" s="393" t="s">
        <v>6</v>
      </c>
      <c r="B7" s="39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6">
        <f t="shared" si="0"/>
        <v>0</v>
      </c>
    </row>
    <row r="8" spans="1:15" x14ac:dyDescent="0.3">
      <c r="A8" s="395" t="s">
        <v>7</v>
      </c>
      <c r="B8" s="396"/>
      <c r="C8" s="7">
        <f t="shared" ref="C8:N8" si="1">SUM(C6:C7)</f>
        <v>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0"/>
        <v>0</v>
      </c>
    </row>
    <row r="9" spans="1:15" x14ac:dyDescent="0.3">
      <c r="A9" s="393" t="s">
        <v>8</v>
      </c>
      <c r="B9" s="39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>
        <f t="shared" si="0"/>
        <v>0</v>
      </c>
    </row>
    <row r="10" spans="1:15" x14ac:dyDescent="0.3">
      <c r="A10" s="393" t="s">
        <v>9</v>
      </c>
      <c r="B10" s="394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>
        <f t="shared" si="0"/>
        <v>0</v>
      </c>
    </row>
    <row r="11" spans="1:15" x14ac:dyDescent="0.3">
      <c r="A11" s="393" t="s">
        <v>10</v>
      </c>
      <c r="B11" s="39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6">
        <f t="shared" si="0"/>
        <v>0</v>
      </c>
    </row>
    <row r="12" spans="1:15" x14ac:dyDescent="0.3">
      <c r="A12" s="393" t="s">
        <v>11</v>
      </c>
      <c r="B12" s="394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6">
        <f t="shared" si="0"/>
        <v>0</v>
      </c>
    </row>
    <row r="13" spans="1:15" x14ac:dyDescent="0.3">
      <c r="A13" s="395" t="s">
        <v>12</v>
      </c>
      <c r="B13" s="396"/>
      <c r="C13" s="7">
        <f t="shared" ref="C13:N13" si="2">SUM(C8:C12)</f>
        <v>0</v>
      </c>
      <c r="D13" s="7">
        <f t="shared" si="2"/>
        <v>0</v>
      </c>
      <c r="E13" s="7">
        <f t="shared" si="2"/>
        <v>0</v>
      </c>
      <c r="F13" s="7">
        <f t="shared" si="2"/>
        <v>0</v>
      </c>
      <c r="G13" s="7">
        <f t="shared" si="2"/>
        <v>0</v>
      </c>
      <c r="H13" s="7">
        <f t="shared" si="2"/>
        <v>0</v>
      </c>
      <c r="I13" s="7">
        <f t="shared" si="2"/>
        <v>0</v>
      </c>
      <c r="J13" s="7">
        <f t="shared" si="2"/>
        <v>0</v>
      </c>
      <c r="K13" s="7">
        <f t="shared" si="2"/>
        <v>0</v>
      </c>
      <c r="L13" s="7">
        <f t="shared" si="2"/>
        <v>0</v>
      </c>
      <c r="M13" s="7">
        <f t="shared" si="2"/>
        <v>0</v>
      </c>
      <c r="N13" s="7">
        <f t="shared" si="2"/>
        <v>0</v>
      </c>
      <c r="O13" s="7">
        <f t="shared" si="0"/>
        <v>0</v>
      </c>
    </row>
    <row r="16" spans="1:15" x14ac:dyDescent="0.3">
      <c r="A16" s="5" t="s">
        <v>15</v>
      </c>
      <c r="B16" s="5"/>
    </row>
    <row r="17" spans="1:15" x14ac:dyDescent="0.3">
      <c r="A17" s="406" t="s">
        <v>3</v>
      </c>
      <c r="B17" s="407"/>
      <c r="C17" s="4" t="s">
        <v>4</v>
      </c>
      <c r="D17" s="4"/>
      <c r="E17" s="4"/>
      <c r="F17" s="4"/>
      <c r="G17" s="4"/>
      <c r="H17" s="4" t="s">
        <v>13</v>
      </c>
      <c r="I17" s="4"/>
      <c r="J17" s="4"/>
      <c r="K17" s="4"/>
      <c r="L17" s="4"/>
      <c r="M17" s="4"/>
      <c r="N17" s="4"/>
      <c r="O17" s="404" t="s">
        <v>16</v>
      </c>
    </row>
    <row r="18" spans="1:15" x14ac:dyDescent="0.3">
      <c r="A18" s="408"/>
      <c r="B18" s="409"/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405"/>
    </row>
    <row r="19" spans="1:15" x14ac:dyDescent="0.3">
      <c r="A19" s="393" t="s">
        <v>5</v>
      </c>
      <c r="B19" s="394"/>
      <c r="C19" s="9">
        <f t="shared" ref="C19:C26" si="3">C6</f>
        <v>0</v>
      </c>
      <c r="D19" s="9">
        <f t="shared" ref="D19:N19" si="4">C19+D6</f>
        <v>0</v>
      </c>
      <c r="E19" s="9">
        <f t="shared" si="4"/>
        <v>0</v>
      </c>
      <c r="F19" s="9">
        <f t="shared" si="4"/>
        <v>0</v>
      </c>
      <c r="G19" s="9">
        <f t="shared" si="4"/>
        <v>0</v>
      </c>
      <c r="H19" s="9">
        <f t="shared" si="4"/>
        <v>0</v>
      </c>
      <c r="I19" s="9">
        <f t="shared" si="4"/>
        <v>0</v>
      </c>
      <c r="J19" s="9">
        <f t="shared" si="4"/>
        <v>0</v>
      </c>
      <c r="K19" s="9">
        <f t="shared" si="4"/>
        <v>0</v>
      </c>
      <c r="L19" s="9">
        <f t="shared" si="4"/>
        <v>0</v>
      </c>
      <c r="M19" s="9">
        <f t="shared" si="4"/>
        <v>0</v>
      </c>
      <c r="N19" s="9">
        <f t="shared" si="4"/>
        <v>0</v>
      </c>
      <c r="O19" s="6">
        <f t="shared" ref="O19:O26" si="5">N19</f>
        <v>0</v>
      </c>
    </row>
    <row r="20" spans="1:15" x14ac:dyDescent="0.3">
      <c r="A20" s="393" t="s">
        <v>6</v>
      </c>
      <c r="B20" s="394"/>
      <c r="C20" s="9">
        <f t="shared" si="3"/>
        <v>0</v>
      </c>
      <c r="D20" s="9">
        <f t="shared" ref="D20:N20" si="6">C20+D7</f>
        <v>0</v>
      </c>
      <c r="E20" s="9">
        <f t="shared" si="6"/>
        <v>0</v>
      </c>
      <c r="F20" s="9">
        <f t="shared" si="6"/>
        <v>0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6"/>
        <v>0</v>
      </c>
      <c r="K20" s="9">
        <f t="shared" si="6"/>
        <v>0</v>
      </c>
      <c r="L20" s="9">
        <f t="shared" si="6"/>
        <v>0</v>
      </c>
      <c r="M20" s="9">
        <f t="shared" si="6"/>
        <v>0</v>
      </c>
      <c r="N20" s="9">
        <f t="shared" si="6"/>
        <v>0</v>
      </c>
      <c r="O20" s="6">
        <f t="shared" si="5"/>
        <v>0</v>
      </c>
    </row>
    <row r="21" spans="1:15" x14ac:dyDescent="0.3">
      <c r="A21" s="395" t="s">
        <v>7</v>
      </c>
      <c r="B21" s="396"/>
      <c r="C21" s="7">
        <f t="shared" si="3"/>
        <v>0</v>
      </c>
      <c r="D21" s="7">
        <f t="shared" ref="D21:N21" si="7">C21+D8</f>
        <v>0</v>
      </c>
      <c r="E21" s="7">
        <f t="shared" si="7"/>
        <v>0</v>
      </c>
      <c r="F21" s="7">
        <f t="shared" si="7"/>
        <v>0</v>
      </c>
      <c r="G21" s="7">
        <f t="shared" si="7"/>
        <v>0</v>
      </c>
      <c r="H21" s="7">
        <f t="shared" si="7"/>
        <v>0</v>
      </c>
      <c r="I21" s="7">
        <f t="shared" si="7"/>
        <v>0</v>
      </c>
      <c r="J21" s="7">
        <f t="shared" si="7"/>
        <v>0</v>
      </c>
      <c r="K21" s="7">
        <f t="shared" si="7"/>
        <v>0</v>
      </c>
      <c r="L21" s="7">
        <f t="shared" si="7"/>
        <v>0</v>
      </c>
      <c r="M21" s="7">
        <f t="shared" si="7"/>
        <v>0</v>
      </c>
      <c r="N21" s="7">
        <f t="shared" si="7"/>
        <v>0</v>
      </c>
      <c r="O21" s="7">
        <f t="shared" si="5"/>
        <v>0</v>
      </c>
    </row>
    <row r="22" spans="1:15" x14ac:dyDescent="0.3">
      <c r="A22" s="393" t="s">
        <v>8</v>
      </c>
      <c r="B22" s="394"/>
      <c r="C22" s="9">
        <f t="shared" si="3"/>
        <v>0</v>
      </c>
      <c r="D22" s="9">
        <f t="shared" ref="D22:N22" si="8">C22+D9</f>
        <v>0</v>
      </c>
      <c r="E22" s="9">
        <f t="shared" si="8"/>
        <v>0</v>
      </c>
      <c r="F22" s="9">
        <f t="shared" si="8"/>
        <v>0</v>
      </c>
      <c r="G22" s="9">
        <f t="shared" si="8"/>
        <v>0</v>
      </c>
      <c r="H22" s="9">
        <f t="shared" si="8"/>
        <v>0</v>
      </c>
      <c r="I22" s="9">
        <f t="shared" si="8"/>
        <v>0</v>
      </c>
      <c r="J22" s="9">
        <f t="shared" si="8"/>
        <v>0</v>
      </c>
      <c r="K22" s="9">
        <f t="shared" si="8"/>
        <v>0</v>
      </c>
      <c r="L22" s="9">
        <f t="shared" si="8"/>
        <v>0</v>
      </c>
      <c r="M22" s="9">
        <f t="shared" si="8"/>
        <v>0</v>
      </c>
      <c r="N22" s="9">
        <f t="shared" si="8"/>
        <v>0</v>
      </c>
      <c r="O22" s="6">
        <f t="shared" si="5"/>
        <v>0</v>
      </c>
    </row>
    <row r="23" spans="1:15" x14ac:dyDescent="0.3">
      <c r="A23" s="393" t="s">
        <v>9</v>
      </c>
      <c r="B23" s="394"/>
      <c r="C23" s="9">
        <f t="shared" si="3"/>
        <v>0</v>
      </c>
      <c r="D23" s="9">
        <f t="shared" ref="D23:N23" si="9">C23+D10</f>
        <v>0</v>
      </c>
      <c r="E23" s="9">
        <f t="shared" si="9"/>
        <v>0</v>
      </c>
      <c r="F23" s="9">
        <f t="shared" si="9"/>
        <v>0</v>
      </c>
      <c r="G23" s="9">
        <f t="shared" si="9"/>
        <v>0</v>
      </c>
      <c r="H23" s="9">
        <f t="shared" si="9"/>
        <v>0</v>
      </c>
      <c r="I23" s="9">
        <f t="shared" si="9"/>
        <v>0</v>
      </c>
      <c r="J23" s="9">
        <f t="shared" si="9"/>
        <v>0</v>
      </c>
      <c r="K23" s="9">
        <f t="shared" si="9"/>
        <v>0</v>
      </c>
      <c r="L23" s="9">
        <f t="shared" si="9"/>
        <v>0</v>
      </c>
      <c r="M23" s="9">
        <f t="shared" si="9"/>
        <v>0</v>
      </c>
      <c r="N23" s="9">
        <f t="shared" si="9"/>
        <v>0</v>
      </c>
      <c r="O23" s="6">
        <f t="shared" si="5"/>
        <v>0</v>
      </c>
    </row>
    <row r="24" spans="1:15" x14ac:dyDescent="0.3">
      <c r="A24" s="393" t="s">
        <v>10</v>
      </c>
      <c r="B24" s="394"/>
      <c r="C24" s="9">
        <f t="shared" si="3"/>
        <v>0</v>
      </c>
      <c r="D24" s="9">
        <f t="shared" ref="D24:N24" si="10">C24+D11</f>
        <v>0</v>
      </c>
      <c r="E24" s="9">
        <f t="shared" si="10"/>
        <v>0</v>
      </c>
      <c r="F24" s="9">
        <f t="shared" si="10"/>
        <v>0</v>
      </c>
      <c r="G24" s="9">
        <f t="shared" si="10"/>
        <v>0</v>
      </c>
      <c r="H24" s="9">
        <f t="shared" si="10"/>
        <v>0</v>
      </c>
      <c r="I24" s="9">
        <f t="shared" si="10"/>
        <v>0</v>
      </c>
      <c r="J24" s="9">
        <f t="shared" si="10"/>
        <v>0</v>
      </c>
      <c r="K24" s="9">
        <f t="shared" si="10"/>
        <v>0</v>
      </c>
      <c r="L24" s="9">
        <f t="shared" si="10"/>
        <v>0</v>
      </c>
      <c r="M24" s="9">
        <f t="shared" si="10"/>
        <v>0</v>
      </c>
      <c r="N24" s="9">
        <f t="shared" si="10"/>
        <v>0</v>
      </c>
      <c r="O24" s="6">
        <f t="shared" si="5"/>
        <v>0</v>
      </c>
    </row>
    <row r="25" spans="1:15" x14ac:dyDescent="0.3">
      <c r="A25" s="393" t="s">
        <v>11</v>
      </c>
      <c r="B25" s="394"/>
      <c r="C25" s="9">
        <f t="shared" si="3"/>
        <v>0</v>
      </c>
      <c r="D25" s="9">
        <f t="shared" ref="D25:N25" si="11">C25+D12</f>
        <v>0</v>
      </c>
      <c r="E25" s="9">
        <f t="shared" si="11"/>
        <v>0</v>
      </c>
      <c r="F25" s="9">
        <f t="shared" si="11"/>
        <v>0</v>
      </c>
      <c r="G25" s="9">
        <f t="shared" si="11"/>
        <v>0</v>
      </c>
      <c r="H25" s="9">
        <f t="shared" si="11"/>
        <v>0</v>
      </c>
      <c r="I25" s="9">
        <f t="shared" si="11"/>
        <v>0</v>
      </c>
      <c r="J25" s="9">
        <f t="shared" si="11"/>
        <v>0</v>
      </c>
      <c r="K25" s="9">
        <f t="shared" si="11"/>
        <v>0</v>
      </c>
      <c r="L25" s="9">
        <f t="shared" si="11"/>
        <v>0</v>
      </c>
      <c r="M25" s="9">
        <f t="shared" si="11"/>
        <v>0</v>
      </c>
      <c r="N25" s="9">
        <f t="shared" si="11"/>
        <v>0</v>
      </c>
      <c r="O25" s="6">
        <f t="shared" si="5"/>
        <v>0</v>
      </c>
    </row>
    <row r="26" spans="1:15" x14ac:dyDescent="0.3">
      <c r="A26" s="395" t="s">
        <v>12</v>
      </c>
      <c r="B26" s="396"/>
      <c r="C26" s="7">
        <f t="shared" si="3"/>
        <v>0</v>
      </c>
      <c r="D26" s="7">
        <f t="shared" ref="D26:N26" si="12">C26+D13</f>
        <v>0</v>
      </c>
      <c r="E26" s="7">
        <f t="shared" si="12"/>
        <v>0</v>
      </c>
      <c r="F26" s="7">
        <f t="shared" si="12"/>
        <v>0</v>
      </c>
      <c r="G26" s="7">
        <f t="shared" si="12"/>
        <v>0</v>
      </c>
      <c r="H26" s="7">
        <f t="shared" si="12"/>
        <v>0</v>
      </c>
      <c r="I26" s="7">
        <f t="shared" si="12"/>
        <v>0</v>
      </c>
      <c r="J26" s="7">
        <f t="shared" si="12"/>
        <v>0</v>
      </c>
      <c r="K26" s="7">
        <f t="shared" si="12"/>
        <v>0</v>
      </c>
      <c r="L26" s="7">
        <f t="shared" si="12"/>
        <v>0</v>
      </c>
      <c r="M26" s="7">
        <f t="shared" si="12"/>
        <v>0</v>
      </c>
      <c r="N26" s="7">
        <f t="shared" si="12"/>
        <v>0</v>
      </c>
      <c r="O26" s="7">
        <f t="shared" si="5"/>
        <v>0</v>
      </c>
    </row>
    <row r="29" spans="1:15" x14ac:dyDescent="0.3">
      <c r="A29" s="5" t="s">
        <v>17</v>
      </c>
      <c r="B29" s="5"/>
      <c r="E29" t="s">
        <v>343</v>
      </c>
    </row>
    <row r="30" spans="1:15" x14ac:dyDescent="0.3">
      <c r="A30" s="406" t="s">
        <v>3</v>
      </c>
      <c r="B30" s="407"/>
      <c r="C30" s="4" t="s">
        <v>4</v>
      </c>
      <c r="D30" s="4"/>
      <c r="E30" s="4"/>
      <c r="F30" s="4"/>
      <c r="G30" s="4"/>
      <c r="H30" s="4" t="s">
        <v>13</v>
      </c>
      <c r="I30" s="4"/>
      <c r="J30" s="4"/>
      <c r="K30" s="4"/>
      <c r="L30" s="4"/>
      <c r="M30" s="4"/>
      <c r="N30" s="4"/>
      <c r="O30" s="404" t="s">
        <v>18</v>
      </c>
    </row>
    <row r="31" spans="1:15" x14ac:dyDescent="0.3">
      <c r="A31" s="408"/>
      <c r="B31" s="409"/>
      <c r="C31" s="3">
        <v>1</v>
      </c>
      <c r="D31" s="3">
        <v>2</v>
      </c>
      <c r="E31" s="3">
        <v>3</v>
      </c>
      <c r="F31" s="3">
        <v>4</v>
      </c>
      <c r="G31" s="3">
        <v>5</v>
      </c>
      <c r="H31" s="3">
        <v>6</v>
      </c>
      <c r="I31" s="3">
        <v>7</v>
      </c>
      <c r="J31" s="3">
        <v>8</v>
      </c>
      <c r="K31" s="3">
        <v>9</v>
      </c>
      <c r="L31" s="3">
        <v>10</v>
      </c>
      <c r="M31" s="3">
        <v>11</v>
      </c>
      <c r="N31" s="3">
        <v>12</v>
      </c>
      <c r="O31" s="405"/>
    </row>
    <row r="32" spans="1:15" x14ac:dyDescent="0.3">
      <c r="A32" s="420" t="s">
        <v>19</v>
      </c>
      <c r="B32" s="421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>
        <f t="shared" ref="O32:O37" si="13">SUM(C32:N32)</f>
        <v>0</v>
      </c>
    </row>
    <row r="33" spans="1:15" x14ac:dyDescent="0.3">
      <c r="A33" s="420" t="s">
        <v>8</v>
      </c>
      <c r="B33" s="421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9">
        <f t="shared" si="13"/>
        <v>0</v>
      </c>
    </row>
    <row r="34" spans="1:15" x14ac:dyDescent="0.3">
      <c r="A34" s="420" t="s">
        <v>9</v>
      </c>
      <c r="B34" s="421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9">
        <f t="shared" si="13"/>
        <v>0</v>
      </c>
    </row>
    <row r="35" spans="1:15" x14ac:dyDescent="0.3">
      <c r="A35" s="420" t="s">
        <v>10</v>
      </c>
      <c r="B35" s="421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9">
        <f t="shared" si="13"/>
        <v>0</v>
      </c>
    </row>
    <row r="36" spans="1:15" x14ac:dyDescent="0.3">
      <c r="A36" s="420" t="s">
        <v>11</v>
      </c>
      <c r="B36" s="421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9">
        <f t="shared" si="13"/>
        <v>0</v>
      </c>
    </row>
    <row r="37" spans="1:15" x14ac:dyDescent="0.3">
      <c r="A37" s="420" t="s">
        <v>20</v>
      </c>
      <c r="B37" s="421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9">
        <f t="shared" si="13"/>
        <v>0</v>
      </c>
    </row>
    <row r="38" spans="1:15" x14ac:dyDescent="0.3">
      <c r="A38" s="395" t="s">
        <v>23</v>
      </c>
      <c r="B38" s="396"/>
      <c r="C38" s="12">
        <f t="shared" ref="C38:N38" si="14" xml:space="preserve"> SUM(C32:C37)</f>
        <v>0</v>
      </c>
      <c r="D38" s="12">
        <f t="shared" si="14"/>
        <v>0</v>
      </c>
      <c r="E38" s="12">
        <f t="shared" si="14"/>
        <v>0</v>
      </c>
      <c r="F38" s="12">
        <f t="shared" si="14"/>
        <v>0</v>
      </c>
      <c r="G38" s="12">
        <f t="shared" si="14"/>
        <v>0</v>
      </c>
      <c r="H38" s="12">
        <f t="shared" si="14"/>
        <v>0</v>
      </c>
      <c r="I38" s="12">
        <f t="shared" si="14"/>
        <v>0</v>
      </c>
      <c r="J38" s="12">
        <f t="shared" si="14"/>
        <v>0</v>
      </c>
      <c r="K38" s="12">
        <f t="shared" si="14"/>
        <v>0</v>
      </c>
      <c r="L38" s="12">
        <f t="shared" si="14"/>
        <v>0</v>
      </c>
      <c r="M38" s="12">
        <f t="shared" si="14"/>
        <v>0</v>
      </c>
      <c r="N38" s="12">
        <f t="shared" si="14"/>
        <v>0</v>
      </c>
      <c r="O38" s="7">
        <f t="shared" ref="O38" si="15">SUM(C38:N38)</f>
        <v>0</v>
      </c>
    </row>
    <row r="39" spans="1:15" ht="17.25" thickBot="1" x14ac:dyDescent="0.35"/>
    <row r="40" spans="1:15" ht="17.25" thickBot="1" x14ac:dyDescent="0.35">
      <c r="A40" s="13" t="s">
        <v>24</v>
      </c>
      <c r="B40" s="13"/>
      <c r="E40" t="s">
        <v>52</v>
      </c>
      <c r="H40" s="36" t="str">
        <f>'0. 사업계획'!D23</f>
        <v>▶ 2025년 열량값</v>
      </c>
      <c r="I40" s="37">
        <f>'0. 사업계획'!E23</f>
        <v>42.369</v>
      </c>
    </row>
    <row r="41" spans="1:15" x14ac:dyDescent="0.3">
      <c r="A41" s="422" t="s">
        <v>55</v>
      </c>
      <c r="B41" s="11" t="s">
        <v>53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9">
        <f>SUM(C41:N41)</f>
        <v>0</v>
      </c>
    </row>
    <row r="42" spans="1:15" x14ac:dyDescent="0.3">
      <c r="A42" s="423"/>
      <c r="B42" s="11" t="s">
        <v>54</v>
      </c>
      <c r="C42" s="34">
        <f>ROUND(C41/1000,1)</f>
        <v>0</v>
      </c>
      <c r="D42" s="34">
        <f t="shared" ref="D42:K42" si="16">ROUND(D41/1000,1)</f>
        <v>0</v>
      </c>
      <c r="E42" s="34">
        <f t="shared" si="16"/>
        <v>0</v>
      </c>
      <c r="F42" s="34">
        <f t="shared" si="16"/>
        <v>0</v>
      </c>
      <c r="G42" s="34">
        <f t="shared" si="16"/>
        <v>0</v>
      </c>
      <c r="H42" s="34">
        <f t="shared" si="16"/>
        <v>0</v>
      </c>
      <c r="I42" s="34">
        <f t="shared" si="16"/>
        <v>0</v>
      </c>
      <c r="J42" s="34">
        <f t="shared" si="16"/>
        <v>0</v>
      </c>
      <c r="K42" s="34">
        <f t="shared" si="16"/>
        <v>0</v>
      </c>
      <c r="L42" s="34">
        <f t="shared" ref="L42" si="17">ROUND(L41/1000,1)</f>
        <v>0</v>
      </c>
      <c r="M42" s="34">
        <f t="shared" ref="M42" si="18">ROUND(M41/1000,1)</f>
        <v>0</v>
      </c>
      <c r="N42" s="34">
        <f t="shared" ref="N42" si="19">ROUND(N41/1000,1)</f>
        <v>0</v>
      </c>
      <c r="O42" s="9"/>
    </row>
    <row r="43" spans="1:15" x14ac:dyDescent="0.3">
      <c r="A43" s="395" t="s">
        <v>58</v>
      </c>
      <c r="B43" s="396"/>
      <c r="C43" s="7">
        <f>C42</f>
        <v>0</v>
      </c>
      <c r="D43" s="7">
        <f t="shared" ref="D43" si="20">C43+D42</f>
        <v>0</v>
      </c>
      <c r="E43" s="7">
        <f t="shared" ref="E43" si="21">D43+E42</f>
        <v>0</v>
      </c>
      <c r="F43" s="7">
        <f t="shared" ref="F43" si="22">E43+F42</f>
        <v>0</v>
      </c>
      <c r="G43" s="7">
        <f t="shared" ref="G43" si="23">F43+G42</f>
        <v>0</v>
      </c>
      <c r="H43" s="7">
        <f t="shared" ref="H43" si="24">G43+H42</f>
        <v>0</v>
      </c>
      <c r="I43" s="7">
        <f t="shared" ref="I43" si="25">H43+I42</f>
        <v>0</v>
      </c>
      <c r="J43" s="7">
        <f t="shared" ref="J43" si="26">I43+J42</f>
        <v>0</v>
      </c>
      <c r="K43" s="7">
        <f t="shared" ref="K43" si="27">J43+K42</f>
        <v>0</v>
      </c>
      <c r="L43" s="7">
        <f t="shared" ref="L43" si="28">K43+L42</f>
        <v>0</v>
      </c>
      <c r="M43" s="7">
        <f t="shared" ref="M43" si="29">L43+M42</f>
        <v>0</v>
      </c>
      <c r="N43" s="7">
        <f t="shared" ref="N43" si="30">M43+N42</f>
        <v>0</v>
      </c>
      <c r="O43" s="9">
        <f>N43</f>
        <v>0</v>
      </c>
    </row>
    <row r="44" spans="1:15" x14ac:dyDescent="0.3">
      <c r="A44" s="422" t="s">
        <v>57</v>
      </c>
      <c r="B44" s="11" t="s">
        <v>39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9">
        <f>SUM(C44:N44)</f>
        <v>0</v>
      </c>
    </row>
    <row r="45" spans="1:15" x14ac:dyDescent="0.3">
      <c r="A45" s="423"/>
      <c r="B45" s="11" t="s">
        <v>56</v>
      </c>
      <c r="C45" s="34">
        <f>ROUND(C44/1000,1)</f>
        <v>0</v>
      </c>
      <c r="D45" s="34">
        <f t="shared" ref="D45:K45" si="31">ROUND(D44/1000,1)</f>
        <v>0</v>
      </c>
      <c r="E45" s="34">
        <f t="shared" si="31"/>
        <v>0</v>
      </c>
      <c r="F45" s="34">
        <f t="shared" si="31"/>
        <v>0</v>
      </c>
      <c r="G45" s="34">
        <f t="shared" si="31"/>
        <v>0</v>
      </c>
      <c r="H45" s="34">
        <f t="shared" si="31"/>
        <v>0</v>
      </c>
      <c r="I45" s="34">
        <f t="shared" si="31"/>
        <v>0</v>
      </c>
      <c r="J45" s="34">
        <f t="shared" si="31"/>
        <v>0</v>
      </c>
      <c r="K45" s="34">
        <f t="shared" si="31"/>
        <v>0</v>
      </c>
      <c r="L45" s="34">
        <f t="shared" ref="L45" si="32">ROUND(L44/1000,1)</f>
        <v>0</v>
      </c>
      <c r="M45" s="34">
        <f t="shared" ref="M45" si="33">ROUND(M44/1000,1)</f>
        <v>0</v>
      </c>
      <c r="N45" s="34">
        <f t="shared" ref="N45" si="34">ROUND(N44/1000,1)</f>
        <v>0</v>
      </c>
      <c r="O45" s="9"/>
    </row>
    <row r="46" spans="1:15" x14ac:dyDescent="0.3">
      <c r="A46" s="395" t="s">
        <v>59</v>
      </c>
      <c r="B46" s="396"/>
      <c r="C46" s="7">
        <f>C45</f>
        <v>0</v>
      </c>
      <c r="D46" s="7">
        <f t="shared" ref="D46" si="35">C46+D45</f>
        <v>0</v>
      </c>
      <c r="E46" s="7">
        <f t="shared" ref="E46" si="36">D46+E45</f>
        <v>0</v>
      </c>
      <c r="F46" s="7">
        <f t="shared" ref="F46" si="37">E46+F45</f>
        <v>0</v>
      </c>
      <c r="G46" s="7">
        <f t="shared" ref="G46" si="38">F46+G45</f>
        <v>0</v>
      </c>
      <c r="H46" s="7">
        <f t="shared" ref="H46" si="39">G46+H45</f>
        <v>0</v>
      </c>
      <c r="I46" s="7">
        <f t="shared" ref="I46" si="40">H46+I45</f>
        <v>0</v>
      </c>
      <c r="J46" s="7">
        <f t="shared" ref="J46" si="41">I46+J45</f>
        <v>0</v>
      </c>
      <c r="K46" s="7">
        <f t="shared" ref="K46" si="42">J46+K45</f>
        <v>0</v>
      </c>
      <c r="L46" s="7">
        <f t="shared" ref="L46" si="43">K46+L45</f>
        <v>0</v>
      </c>
      <c r="M46" s="7">
        <f t="shared" ref="M46" si="44">L46+M45</f>
        <v>0</v>
      </c>
      <c r="N46" s="7">
        <f t="shared" ref="N46" si="45">M46+N45</f>
        <v>0</v>
      </c>
      <c r="O46" s="9">
        <f>N46</f>
        <v>0</v>
      </c>
    </row>
    <row r="48" spans="1:15" x14ac:dyDescent="0.3">
      <c r="C48" t="b">
        <f t="shared" ref="C48:O48" si="46">EXACT(C38,C41)</f>
        <v>0</v>
      </c>
      <c r="D48" t="b">
        <f t="shared" si="46"/>
        <v>0</v>
      </c>
      <c r="E48" t="b">
        <f t="shared" si="46"/>
        <v>0</v>
      </c>
      <c r="F48" t="b">
        <f t="shared" si="46"/>
        <v>0</v>
      </c>
      <c r="G48" t="b">
        <f t="shared" si="46"/>
        <v>0</v>
      </c>
      <c r="H48" t="b">
        <f t="shared" si="46"/>
        <v>0</v>
      </c>
      <c r="I48" t="b">
        <f t="shared" si="46"/>
        <v>0</v>
      </c>
      <c r="J48" t="b">
        <f t="shared" si="46"/>
        <v>0</v>
      </c>
      <c r="K48" t="b">
        <f t="shared" si="46"/>
        <v>0</v>
      </c>
      <c r="L48" t="b">
        <f t="shared" si="46"/>
        <v>0</v>
      </c>
      <c r="M48" t="b">
        <f t="shared" si="46"/>
        <v>0</v>
      </c>
      <c r="N48" t="b">
        <f t="shared" si="46"/>
        <v>0</v>
      </c>
      <c r="O48" t="b">
        <f t="shared" si="46"/>
        <v>1</v>
      </c>
    </row>
  </sheetData>
  <mergeCells count="33">
    <mergeCell ref="O4:O5"/>
    <mergeCell ref="O17:O18"/>
    <mergeCell ref="O30:O31"/>
    <mergeCell ref="A20:B20"/>
    <mergeCell ref="A21:B21"/>
    <mergeCell ref="A26:B26"/>
    <mergeCell ref="A22:B22"/>
    <mergeCell ref="A23:B23"/>
    <mergeCell ref="A24:B24"/>
    <mergeCell ref="A25:B25"/>
    <mergeCell ref="A6:B6"/>
    <mergeCell ref="A7:B7"/>
    <mergeCell ref="A8:B8"/>
    <mergeCell ref="A9:B9"/>
    <mergeCell ref="A4:B5"/>
    <mergeCell ref="A17:B18"/>
    <mergeCell ref="A43:B43"/>
    <mergeCell ref="A46:B46"/>
    <mergeCell ref="A41:A42"/>
    <mergeCell ref="A44:A45"/>
    <mergeCell ref="A34:B34"/>
    <mergeCell ref="A35:B35"/>
    <mergeCell ref="A36:B36"/>
    <mergeCell ref="A37:B37"/>
    <mergeCell ref="A38:B38"/>
    <mergeCell ref="A30:B31"/>
    <mergeCell ref="A32:B32"/>
    <mergeCell ref="A33:B33"/>
    <mergeCell ref="A19:B19"/>
    <mergeCell ref="A10:B10"/>
    <mergeCell ref="A12:B12"/>
    <mergeCell ref="A13:B13"/>
    <mergeCell ref="A11:B11"/>
  </mergeCells>
  <phoneticPr fontId="1" type="noConversion"/>
  <conditionalFormatting sqref="C48:O48">
    <cfRule type="containsText" dxfId="24" priority="1" operator="containsText" text="FALSE">
      <formula>NOT(ISERROR(SEARCH("FALSE",C48)))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01"/>
  <sheetViews>
    <sheetView showGridLines="0" tabSelected="1" zoomScale="85" zoomScaleNormal="85" zoomScaleSheetLayoutView="75" workbookViewId="0">
      <pane xSplit="2" ySplit="2" topLeftCell="D33" activePane="bottomRight" state="frozen"/>
      <selection pane="topRight" activeCell="C1" sqref="C1"/>
      <selection pane="bottomLeft" activeCell="A3" sqref="A3"/>
      <selection pane="bottomRight" activeCell="R21" sqref="R21:R30"/>
    </sheetView>
  </sheetViews>
  <sheetFormatPr defaultColWidth="16.625" defaultRowHeight="18.75" customHeight="1" x14ac:dyDescent="0.3"/>
  <cols>
    <col min="1" max="1" width="16" style="71" customWidth="1"/>
    <col min="2" max="2" width="11.375" style="71" customWidth="1"/>
    <col min="3" max="14" width="17.25" style="71" bestFit="1" customWidth="1"/>
    <col min="15" max="15" width="18.375" style="71" bestFit="1" customWidth="1"/>
    <col min="16" max="16" width="6.875" style="71" customWidth="1"/>
    <col min="17" max="18" width="14.375" style="66" customWidth="1"/>
    <col min="19" max="19" width="17.625" style="66" bestFit="1" customWidth="1"/>
    <col min="20" max="253" width="16.625" style="66"/>
    <col min="254" max="254" width="6" style="66" customWidth="1"/>
    <col min="255" max="255" width="14.625" style="66" customWidth="1"/>
    <col min="256" max="256" width="25.5" style="66" customWidth="1"/>
    <col min="257" max="268" width="17.25" style="66" bestFit="1" customWidth="1"/>
    <col min="269" max="269" width="10" style="66" customWidth="1"/>
    <col min="270" max="270" width="18.375" style="66" bestFit="1" customWidth="1"/>
    <col min="271" max="271" width="8.625" style="66" customWidth="1"/>
    <col min="272" max="272" width="17.625" style="66" bestFit="1" customWidth="1"/>
    <col min="273" max="273" width="16.625" style="66"/>
    <col min="274" max="274" width="17.625" style="66" bestFit="1" customWidth="1"/>
    <col min="275" max="509" width="16.625" style="66"/>
    <col min="510" max="510" width="6" style="66" customWidth="1"/>
    <col min="511" max="511" width="14.625" style="66" customWidth="1"/>
    <col min="512" max="512" width="25.5" style="66" customWidth="1"/>
    <col min="513" max="524" width="17.25" style="66" bestFit="1" customWidth="1"/>
    <col min="525" max="525" width="10" style="66" customWidth="1"/>
    <col min="526" max="526" width="18.375" style="66" bestFit="1" customWidth="1"/>
    <col min="527" max="527" width="8.625" style="66" customWidth="1"/>
    <col min="528" max="528" width="17.625" style="66" bestFit="1" customWidth="1"/>
    <col min="529" max="529" width="16.625" style="66"/>
    <col min="530" max="530" width="17.625" style="66" bestFit="1" customWidth="1"/>
    <col min="531" max="765" width="16.625" style="66"/>
    <col min="766" max="766" width="6" style="66" customWidth="1"/>
    <col min="767" max="767" width="14.625" style="66" customWidth="1"/>
    <col min="768" max="768" width="25.5" style="66" customWidth="1"/>
    <col min="769" max="780" width="17.25" style="66" bestFit="1" customWidth="1"/>
    <col min="781" max="781" width="10" style="66" customWidth="1"/>
    <col min="782" max="782" width="18.375" style="66" bestFit="1" customWidth="1"/>
    <col min="783" max="783" width="8.625" style="66" customWidth="1"/>
    <col min="784" max="784" width="17.625" style="66" bestFit="1" customWidth="1"/>
    <col min="785" max="785" width="16.625" style="66"/>
    <col min="786" max="786" width="17.625" style="66" bestFit="1" customWidth="1"/>
    <col min="787" max="1021" width="16.625" style="66"/>
    <col min="1022" max="1022" width="6" style="66" customWidth="1"/>
    <col min="1023" max="1023" width="14.625" style="66" customWidth="1"/>
    <col min="1024" max="1024" width="25.5" style="66" customWidth="1"/>
    <col min="1025" max="1036" width="17.25" style="66" bestFit="1" customWidth="1"/>
    <col min="1037" max="1037" width="10" style="66" customWidth="1"/>
    <col min="1038" max="1038" width="18.375" style="66" bestFit="1" customWidth="1"/>
    <col min="1039" max="1039" width="8.625" style="66" customWidth="1"/>
    <col min="1040" max="1040" width="17.625" style="66" bestFit="1" customWidth="1"/>
    <col min="1041" max="1041" width="16.625" style="66"/>
    <col min="1042" max="1042" width="17.625" style="66" bestFit="1" customWidth="1"/>
    <col min="1043" max="1277" width="16.625" style="66"/>
    <col min="1278" max="1278" width="6" style="66" customWidth="1"/>
    <col min="1279" max="1279" width="14.625" style="66" customWidth="1"/>
    <col min="1280" max="1280" width="25.5" style="66" customWidth="1"/>
    <col min="1281" max="1292" width="17.25" style="66" bestFit="1" customWidth="1"/>
    <col min="1293" max="1293" width="10" style="66" customWidth="1"/>
    <col min="1294" max="1294" width="18.375" style="66" bestFit="1" customWidth="1"/>
    <col min="1295" max="1295" width="8.625" style="66" customWidth="1"/>
    <col min="1296" max="1296" width="17.625" style="66" bestFit="1" customWidth="1"/>
    <col min="1297" max="1297" width="16.625" style="66"/>
    <col min="1298" max="1298" width="17.625" style="66" bestFit="1" customWidth="1"/>
    <col min="1299" max="1533" width="16.625" style="66"/>
    <col min="1534" max="1534" width="6" style="66" customWidth="1"/>
    <col min="1535" max="1535" width="14.625" style="66" customWidth="1"/>
    <col min="1536" max="1536" width="25.5" style="66" customWidth="1"/>
    <col min="1537" max="1548" width="17.25" style="66" bestFit="1" customWidth="1"/>
    <col min="1549" max="1549" width="10" style="66" customWidth="1"/>
    <col min="1550" max="1550" width="18.375" style="66" bestFit="1" customWidth="1"/>
    <col min="1551" max="1551" width="8.625" style="66" customWidth="1"/>
    <col min="1552" max="1552" width="17.625" style="66" bestFit="1" customWidth="1"/>
    <col min="1553" max="1553" width="16.625" style="66"/>
    <col min="1554" max="1554" width="17.625" style="66" bestFit="1" customWidth="1"/>
    <col min="1555" max="1789" width="16.625" style="66"/>
    <col min="1790" max="1790" width="6" style="66" customWidth="1"/>
    <col min="1791" max="1791" width="14.625" style="66" customWidth="1"/>
    <col min="1792" max="1792" width="25.5" style="66" customWidth="1"/>
    <col min="1793" max="1804" width="17.25" style="66" bestFit="1" customWidth="1"/>
    <col min="1805" max="1805" width="10" style="66" customWidth="1"/>
    <col min="1806" max="1806" width="18.375" style="66" bestFit="1" customWidth="1"/>
    <col min="1807" max="1807" width="8.625" style="66" customWidth="1"/>
    <col min="1808" max="1808" width="17.625" style="66" bestFit="1" customWidth="1"/>
    <col min="1809" max="1809" width="16.625" style="66"/>
    <col min="1810" max="1810" width="17.625" style="66" bestFit="1" customWidth="1"/>
    <col min="1811" max="2045" width="16.625" style="66"/>
    <col min="2046" max="2046" width="6" style="66" customWidth="1"/>
    <col min="2047" max="2047" width="14.625" style="66" customWidth="1"/>
    <col min="2048" max="2048" width="25.5" style="66" customWidth="1"/>
    <col min="2049" max="2060" width="17.25" style="66" bestFit="1" customWidth="1"/>
    <col min="2061" max="2061" width="10" style="66" customWidth="1"/>
    <col min="2062" max="2062" width="18.375" style="66" bestFit="1" customWidth="1"/>
    <col min="2063" max="2063" width="8.625" style="66" customWidth="1"/>
    <col min="2064" max="2064" width="17.625" style="66" bestFit="1" customWidth="1"/>
    <col min="2065" max="2065" width="16.625" style="66"/>
    <col min="2066" max="2066" width="17.625" style="66" bestFit="1" customWidth="1"/>
    <col min="2067" max="2301" width="16.625" style="66"/>
    <col min="2302" max="2302" width="6" style="66" customWidth="1"/>
    <col min="2303" max="2303" width="14.625" style="66" customWidth="1"/>
    <col min="2304" max="2304" width="25.5" style="66" customWidth="1"/>
    <col min="2305" max="2316" width="17.25" style="66" bestFit="1" customWidth="1"/>
    <col min="2317" max="2317" width="10" style="66" customWidth="1"/>
    <col min="2318" max="2318" width="18.375" style="66" bestFit="1" customWidth="1"/>
    <col min="2319" max="2319" width="8.625" style="66" customWidth="1"/>
    <col min="2320" max="2320" width="17.625" style="66" bestFit="1" customWidth="1"/>
    <col min="2321" max="2321" width="16.625" style="66"/>
    <col min="2322" max="2322" width="17.625" style="66" bestFit="1" customWidth="1"/>
    <col min="2323" max="2557" width="16.625" style="66"/>
    <col min="2558" max="2558" width="6" style="66" customWidth="1"/>
    <col min="2559" max="2559" width="14.625" style="66" customWidth="1"/>
    <col min="2560" max="2560" width="25.5" style="66" customWidth="1"/>
    <col min="2561" max="2572" width="17.25" style="66" bestFit="1" customWidth="1"/>
    <col min="2573" max="2573" width="10" style="66" customWidth="1"/>
    <col min="2574" max="2574" width="18.375" style="66" bestFit="1" customWidth="1"/>
    <col min="2575" max="2575" width="8.625" style="66" customWidth="1"/>
    <col min="2576" max="2576" width="17.625" style="66" bestFit="1" customWidth="1"/>
    <col min="2577" max="2577" width="16.625" style="66"/>
    <col min="2578" max="2578" width="17.625" style="66" bestFit="1" customWidth="1"/>
    <col min="2579" max="2813" width="16.625" style="66"/>
    <col min="2814" max="2814" width="6" style="66" customWidth="1"/>
    <col min="2815" max="2815" width="14.625" style="66" customWidth="1"/>
    <col min="2816" max="2816" width="25.5" style="66" customWidth="1"/>
    <col min="2817" max="2828" width="17.25" style="66" bestFit="1" customWidth="1"/>
    <col min="2829" max="2829" width="10" style="66" customWidth="1"/>
    <col min="2830" max="2830" width="18.375" style="66" bestFit="1" customWidth="1"/>
    <col min="2831" max="2831" width="8.625" style="66" customWidth="1"/>
    <col min="2832" max="2832" width="17.625" style="66" bestFit="1" customWidth="1"/>
    <col min="2833" max="2833" width="16.625" style="66"/>
    <col min="2834" max="2834" width="17.625" style="66" bestFit="1" customWidth="1"/>
    <col min="2835" max="3069" width="16.625" style="66"/>
    <col min="3070" max="3070" width="6" style="66" customWidth="1"/>
    <col min="3071" max="3071" width="14.625" style="66" customWidth="1"/>
    <col min="3072" max="3072" width="25.5" style="66" customWidth="1"/>
    <col min="3073" max="3084" width="17.25" style="66" bestFit="1" customWidth="1"/>
    <col min="3085" max="3085" width="10" style="66" customWidth="1"/>
    <col min="3086" max="3086" width="18.375" style="66" bestFit="1" customWidth="1"/>
    <col min="3087" max="3087" width="8.625" style="66" customWidth="1"/>
    <col min="3088" max="3088" width="17.625" style="66" bestFit="1" customWidth="1"/>
    <col min="3089" max="3089" width="16.625" style="66"/>
    <col min="3090" max="3090" width="17.625" style="66" bestFit="1" customWidth="1"/>
    <col min="3091" max="3325" width="16.625" style="66"/>
    <col min="3326" max="3326" width="6" style="66" customWidth="1"/>
    <col min="3327" max="3327" width="14.625" style="66" customWidth="1"/>
    <col min="3328" max="3328" width="25.5" style="66" customWidth="1"/>
    <col min="3329" max="3340" width="17.25" style="66" bestFit="1" customWidth="1"/>
    <col min="3341" max="3341" width="10" style="66" customWidth="1"/>
    <col min="3342" max="3342" width="18.375" style="66" bestFit="1" customWidth="1"/>
    <col min="3343" max="3343" width="8.625" style="66" customWidth="1"/>
    <col min="3344" max="3344" width="17.625" style="66" bestFit="1" customWidth="1"/>
    <col min="3345" max="3345" width="16.625" style="66"/>
    <col min="3346" max="3346" width="17.625" style="66" bestFit="1" customWidth="1"/>
    <col min="3347" max="3581" width="16.625" style="66"/>
    <col min="3582" max="3582" width="6" style="66" customWidth="1"/>
    <col min="3583" max="3583" width="14.625" style="66" customWidth="1"/>
    <col min="3584" max="3584" width="25.5" style="66" customWidth="1"/>
    <col min="3585" max="3596" width="17.25" style="66" bestFit="1" customWidth="1"/>
    <col min="3597" max="3597" width="10" style="66" customWidth="1"/>
    <col min="3598" max="3598" width="18.375" style="66" bestFit="1" customWidth="1"/>
    <col min="3599" max="3599" width="8.625" style="66" customWidth="1"/>
    <col min="3600" max="3600" width="17.625" style="66" bestFit="1" customWidth="1"/>
    <col min="3601" max="3601" width="16.625" style="66"/>
    <col min="3602" max="3602" width="17.625" style="66" bestFit="1" customWidth="1"/>
    <col min="3603" max="3837" width="16.625" style="66"/>
    <col min="3838" max="3838" width="6" style="66" customWidth="1"/>
    <col min="3839" max="3839" width="14.625" style="66" customWidth="1"/>
    <col min="3840" max="3840" width="25.5" style="66" customWidth="1"/>
    <col min="3841" max="3852" width="17.25" style="66" bestFit="1" customWidth="1"/>
    <col min="3853" max="3853" width="10" style="66" customWidth="1"/>
    <col min="3854" max="3854" width="18.375" style="66" bestFit="1" customWidth="1"/>
    <col min="3855" max="3855" width="8.625" style="66" customWidth="1"/>
    <col min="3856" max="3856" width="17.625" style="66" bestFit="1" customWidth="1"/>
    <col min="3857" max="3857" width="16.625" style="66"/>
    <col min="3858" max="3858" width="17.625" style="66" bestFit="1" customWidth="1"/>
    <col min="3859" max="4093" width="16.625" style="66"/>
    <col min="4094" max="4094" width="6" style="66" customWidth="1"/>
    <col min="4095" max="4095" width="14.625" style="66" customWidth="1"/>
    <col min="4096" max="4096" width="25.5" style="66" customWidth="1"/>
    <col min="4097" max="4108" width="17.25" style="66" bestFit="1" customWidth="1"/>
    <col min="4109" max="4109" width="10" style="66" customWidth="1"/>
    <col min="4110" max="4110" width="18.375" style="66" bestFit="1" customWidth="1"/>
    <col min="4111" max="4111" width="8.625" style="66" customWidth="1"/>
    <col min="4112" max="4112" width="17.625" style="66" bestFit="1" customWidth="1"/>
    <col min="4113" max="4113" width="16.625" style="66"/>
    <col min="4114" max="4114" width="17.625" style="66" bestFit="1" customWidth="1"/>
    <col min="4115" max="4349" width="16.625" style="66"/>
    <col min="4350" max="4350" width="6" style="66" customWidth="1"/>
    <col min="4351" max="4351" width="14.625" style="66" customWidth="1"/>
    <col min="4352" max="4352" width="25.5" style="66" customWidth="1"/>
    <col min="4353" max="4364" width="17.25" style="66" bestFit="1" customWidth="1"/>
    <col min="4365" max="4365" width="10" style="66" customWidth="1"/>
    <col min="4366" max="4366" width="18.375" style="66" bestFit="1" customWidth="1"/>
    <col min="4367" max="4367" width="8.625" style="66" customWidth="1"/>
    <col min="4368" max="4368" width="17.625" style="66" bestFit="1" customWidth="1"/>
    <col min="4369" max="4369" width="16.625" style="66"/>
    <col min="4370" max="4370" width="17.625" style="66" bestFit="1" customWidth="1"/>
    <col min="4371" max="4605" width="16.625" style="66"/>
    <col min="4606" max="4606" width="6" style="66" customWidth="1"/>
    <col min="4607" max="4607" width="14.625" style="66" customWidth="1"/>
    <col min="4608" max="4608" width="25.5" style="66" customWidth="1"/>
    <col min="4609" max="4620" width="17.25" style="66" bestFit="1" customWidth="1"/>
    <col min="4621" max="4621" width="10" style="66" customWidth="1"/>
    <col min="4622" max="4622" width="18.375" style="66" bestFit="1" customWidth="1"/>
    <col min="4623" max="4623" width="8.625" style="66" customWidth="1"/>
    <col min="4624" max="4624" width="17.625" style="66" bestFit="1" customWidth="1"/>
    <col min="4625" max="4625" width="16.625" style="66"/>
    <col min="4626" max="4626" width="17.625" style="66" bestFit="1" customWidth="1"/>
    <col min="4627" max="4861" width="16.625" style="66"/>
    <col min="4862" max="4862" width="6" style="66" customWidth="1"/>
    <col min="4863" max="4863" width="14.625" style="66" customWidth="1"/>
    <col min="4864" max="4864" width="25.5" style="66" customWidth="1"/>
    <col min="4865" max="4876" width="17.25" style="66" bestFit="1" customWidth="1"/>
    <col min="4877" max="4877" width="10" style="66" customWidth="1"/>
    <col min="4878" max="4878" width="18.375" style="66" bestFit="1" customWidth="1"/>
    <col min="4879" max="4879" width="8.625" style="66" customWidth="1"/>
    <col min="4880" max="4880" width="17.625" style="66" bestFit="1" customWidth="1"/>
    <col min="4881" max="4881" width="16.625" style="66"/>
    <col min="4882" max="4882" width="17.625" style="66" bestFit="1" customWidth="1"/>
    <col min="4883" max="5117" width="16.625" style="66"/>
    <col min="5118" max="5118" width="6" style="66" customWidth="1"/>
    <col min="5119" max="5119" width="14.625" style="66" customWidth="1"/>
    <col min="5120" max="5120" width="25.5" style="66" customWidth="1"/>
    <col min="5121" max="5132" width="17.25" style="66" bestFit="1" customWidth="1"/>
    <col min="5133" max="5133" width="10" style="66" customWidth="1"/>
    <col min="5134" max="5134" width="18.375" style="66" bestFit="1" customWidth="1"/>
    <col min="5135" max="5135" width="8.625" style="66" customWidth="1"/>
    <col min="5136" max="5136" width="17.625" style="66" bestFit="1" customWidth="1"/>
    <col min="5137" max="5137" width="16.625" style="66"/>
    <col min="5138" max="5138" width="17.625" style="66" bestFit="1" customWidth="1"/>
    <col min="5139" max="5373" width="16.625" style="66"/>
    <col min="5374" max="5374" width="6" style="66" customWidth="1"/>
    <col min="5375" max="5375" width="14.625" style="66" customWidth="1"/>
    <col min="5376" max="5376" width="25.5" style="66" customWidth="1"/>
    <col min="5377" max="5388" width="17.25" style="66" bestFit="1" customWidth="1"/>
    <col min="5389" max="5389" width="10" style="66" customWidth="1"/>
    <col min="5390" max="5390" width="18.375" style="66" bestFit="1" customWidth="1"/>
    <col min="5391" max="5391" width="8.625" style="66" customWidth="1"/>
    <col min="5392" max="5392" width="17.625" style="66" bestFit="1" customWidth="1"/>
    <col min="5393" max="5393" width="16.625" style="66"/>
    <col min="5394" max="5394" width="17.625" style="66" bestFit="1" customWidth="1"/>
    <col min="5395" max="5629" width="16.625" style="66"/>
    <col min="5630" max="5630" width="6" style="66" customWidth="1"/>
    <col min="5631" max="5631" width="14.625" style="66" customWidth="1"/>
    <col min="5632" max="5632" width="25.5" style="66" customWidth="1"/>
    <col min="5633" max="5644" width="17.25" style="66" bestFit="1" customWidth="1"/>
    <col min="5645" max="5645" width="10" style="66" customWidth="1"/>
    <col min="5646" max="5646" width="18.375" style="66" bestFit="1" customWidth="1"/>
    <col min="5647" max="5647" width="8.625" style="66" customWidth="1"/>
    <col min="5648" max="5648" width="17.625" style="66" bestFit="1" customWidth="1"/>
    <col min="5649" max="5649" width="16.625" style="66"/>
    <col min="5650" max="5650" width="17.625" style="66" bestFit="1" customWidth="1"/>
    <col min="5651" max="5885" width="16.625" style="66"/>
    <col min="5886" max="5886" width="6" style="66" customWidth="1"/>
    <col min="5887" max="5887" width="14.625" style="66" customWidth="1"/>
    <col min="5888" max="5888" width="25.5" style="66" customWidth="1"/>
    <col min="5889" max="5900" width="17.25" style="66" bestFit="1" customWidth="1"/>
    <col min="5901" max="5901" width="10" style="66" customWidth="1"/>
    <col min="5902" max="5902" width="18.375" style="66" bestFit="1" customWidth="1"/>
    <col min="5903" max="5903" width="8.625" style="66" customWidth="1"/>
    <col min="5904" max="5904" width="17.625" style="66" bestFit="1" customWidth="1"/>
    <col min="5905" max="5905" width="16.625" style="66"/>
    <col min="5906" max="5906" width="17.625" style="66" bestFit="1" customWidth="1"/>
    <col min="5907" max="6141" width="16.625" style="66"/>
    <col min="6142" max="6142" width="6" style="66" customWidth="1"/>
    <col min="6143" max="6143" width="14.625" style="66" customWidth="1"/>
    <col min="6144" max="6144" width="25.5" style="66" customWidth="1"/>
    <col min="6145" max="6156" width="17.25" style="66" bestFit="1" customWidth="1"/>
    <col min="6157" max="6157" width="10" style="66" customWidth="1"/>
    <col min="6158" max="6158" width="18.375" style="66" bestFit="1" customWidth="1"/>
    <col min="6159" max="6159" width="8.625" style="66" customWidth="1"/>
    <col min="6160" max="6160" width="17.625" style="66" bestFit="1" customWidth="1"/>
    <col min="6161" max="6161" width="16.625" style="66"/>
    <col min="6162" max="6162" width="17.625" style="66" bestFit="1" customWidth="1"/>
    <col min="6163" max="6397" width="16.625" style="66"/>
    <col min="6398" max="6398" width="6" style="66" customWidth="1"/>
    <col min="6399" max="6399" width="14.625" style="66" customWidth="1"/>
    <col min="6400" max="6400" width="25.5" style="66" customWidth="1"/>
    <col min="6401" max="6412" width="17.25" style="66" bestFit="1" customWidth="1"/>
    <col min="6413" max="6413" width="10" style="66" customWidth="1"/>
    <col min="6414" max="6414" width="18.375" style="66" bestFit="1" customWidth="1"/>
    <col min="6415" max="6415" width="8.625" style="66" customWidth="1"/>
    <col min="6416" max="6416" width="17.625" style="66" bestFit="1" customWidth="1"/>
    <col min="6417" max="6417" width="16.625" style="66"/>
    <col min="6418" max="6418" width="17.625" style="66" bestFit="1" customWidth="1"/>
    <col min="6419" max="6653" width="16.625" style="66"/>
    <col min="6654" max="6654" width="6" style="66" customWidth="1"/>
    <col min="6655" max="6655" width="14.625" style="66" customWidth="1"/>
    <col min="6656" max="6656" width="25.5" style="66" customWidth="1"/>
    <col min="6657" max="6668" width="17.25" style="66" bestFit="1" customWidth="1"/>
    <col min="6669" max="6669" width="10" style="66" customWidth="1"/>
    <col min="6670" max="6670" width="18.375" style="66" bestFit="1" customWidth="1"/>
    <col min="6671" max="6671" width="8.625" style="66" customWidth="1"/>
    <col min="6672" max="6672" width="17.625" style="66" bestFit="1" customWidth="1"/>
    <col min="6673" max="6673" width="16.625" style="66"/>
    <col min="6674" max="6674" width="17.625" style="66" bestFit="1" customWidth="1"/>
    <col min="6675" max="6909" width="16.625" style="66"/>
    <col min="6910" max="6910" width="6" style="66" customWidth="1"/>
    <col min="6911" max="6911" width="14.625" style="66" customWidth="1"/>
    <col min="6912" max="6912" width="25.5" style="66" customWidth="1"/>
    <col min="6913" max="6924" width="17.25" style="66" bestFit="1" customWidth="1"/>
    <col min="6925" max="6925" width="10" style="66" customWidth="1"/>
    <col min="6926" max="6926" width="18.375" style="66" bestFit="1" customWidth="1"/>
    <col min="6927" max="6927" width="8.625" style="66" customWidth="1"/>
    <col min="6928" max="6928" width="17.625" style="66" bestFit="1" customWidth="1"/>
    <col min="6929" max="6929" width="16.625" style="66"/>
    <col min="6930" max="6930" width="17.625" style="66" bestFit="1" customWidth="1"/>
    <col min="6931" max="7165" width="16.625" style="66"/>
    <col min="7166" max="7166" width="6" style="66" customWidth="1"/>
    <col min="7167" max="7167" width="14.625" style="66" customWidth="1"/>
    <col min="7168" max="7168" width="25.5" style="66" customWidth="1"/>
    <col min="7169" max="7180" width="17.25" style="66" bestFit="1" customWidth="1"/>
    <col min="7181" max="7181" width="10" style="66" customWidth="1"/>
    <col min="7182" max="7182" width="18.375" style="66" bestFit="1" customWidth="1"/>
    <col min="7183" max="7183" width="8.625" style="66" customWidth="1"/>
    <col min="7184" max="7184" width="17.625" style="66" bestFit="1" customWidth="1"/>
    <col min="7185" max="7185" width="16.625" style="66"/>
    <col min="7186" max="7186" width="17.625" style="66" bestFit="1" customWidth="1"/>
    <col min="7187" max="7421" width="16.625" style="66"/>
    <col min="7422" max="7422" width="6" style="66" customWidth="1"/>
    <col min="7423" max="7423" width="14.625" style="66" customWidth="1"/>
    <col min="7424" max="7424" width="25.5" style="66" customWidth="1"/>
    <col min="7425" max="7436" width="17.25" style="66" bestFit="1" customWidth="1"/>
    <col min="7437" max="7437" width="10" style="66" customWidth="1"/>
    <col min="7438" max="7438" width="18.375" style="66" bestFit="1" customWidth="1"/>
    <col min="7439" max="7439" width="8.625" style="66" customWidth="1"/>
    <col min="7440" max="7440" width="17.625" style="66" bestFit="1" customWidth="1"/>
    <col min="7441" max="7441" width="16.625" style="66"/>
    <col min="7442" max="7442" width="17.625" style="66" bestFit="1" customWidth="1"/>
    <col min="7443" max="7677" width="16.625" style="66"/>
    <col min="7678" max="7678" width="6" style="66" customWidth="1"/>
    <col min="7679" max="7679" width="14.625" style="66" customWidth="1"/>
    <col min="7680" max="7680" width="25.5" style="66" customWidth="1"/>
    <col min="7681" max="7692" width="17.25" style="66" bestFit="1" customWidth="1"/>
    <col min="7693" max="7693" width="10" style="66" customWidth="1"/>
    <col min="7694" max="7694" width="18.375" style="66" bestFit="1" customWidth="1"/>
    <col min="7695" max="7695" width="8.625" style="66" customWidth="1"/>
    <col min="7696" max="7696" width="17.625" style="66" bestFit="1" customWidth="1"/>
    <col min="7697" max="7697" width="16.625" style="66"/>
    <col min="7698" max="7698" width="17.625" style="66" bestFit="1" customWidth="1"/>
    <col min="7699" max="7933" width="16.625" style="66"/>
    <col min="7934" max="7934" width="6" style="66" customWidth="1"/>
    <col min="7935" max="7935" width="14.625" style="66" customWidth="1"/>
    <col min="7936" max="7936" width="25.5" style="66" customWidth="1"/>
    <col min="7937" max="7948" width="17.25" style="66" bestFit="1" customWidth="1"/>
    <col min="7949" max="7949" width="10" style="66" customWidth="1"/>
    <col min="7950" max="7950" width="18.375" style="66" bestFit="1" customWidth="1"/>
    <col min="7951" max="7951" width="8.625" style="66" customWidth="1"/>
    <col min="7952" max="7952" width="17.625" style="66" bestFit="1" customWidth="1"/>
    <col min="7953" max="7953" width="16.625" style="66"/>
    <col min="7954" max="7954" width="17.625" style="66" bestFit="1" customWidth="1"/>
    <col min="7955" max="8189" width="16.625" style="66"/>
    <col min="8190" max="8190" width="6" style="66" customWidth="1"/>
    <col min="8191" max="8191" width="14.625" style="66" customWidth="1"/>
    <col min="8192" max="8192" width="25.5" style="66" customWidth="1"/>
    <col min="8193" max="8204" width="17.25" style="66" bestFit="1" customWidth="1"/>
    <col min="8205" max="8205" width="10" style="66" customWidth="1"/>
    <col min="8206" max="8206" width="18.375" style="66" bestFit="1" customWidth="1"/>
    <col min="8207" max="8207" width="8.625" style="66" customWidth="1"/>
    <col min="8208" max="8208" width="17.625" style="66" bestFit="1" customWidth="1"/>
    <col min="8209" max="8209" width="16.625" style="66"/>
    <col min="8210" max="8210" width="17.625" style="66" bestFit="1" customWidth="1"/>
    <col min="8211" max="8445" width="16.625" style="66"/>
    <col min="8446" max="8446" width="6" style="66" customWidth="1"/>
    <col min="8447" max="8447" width="14.625" style="66" customWidth="1"/>
    <col min="8448" max="8448" width="25.5" style="66" customWidth="1"/>
    <col min="8449" max="8460" width="17.25" style="66" bestFit="1" customWidth="1"/>
    <col min="8461" max="8461" width="10" style="66" customWidth="1"/>
    <col min="8462" max="8462" width="18.375" style="66" bestFit="1" customWidth="1"/>
    <col min="8463" max="8463" width="8.625" style="66" customWidth="1"/>
    <col min="8464" max="8464" width="17.625" style="66" bestFit="1" customWidth="1"/>
    <col min="8465" max="8465" width="16.625" style="66"/>
    <col min="8466" max="8466" width="17.625" style="66" bestFit="1" customWidth="1"/>
    <col min="8467" max="8701" width="16.625" style="66"/>
    <col min="8702" max="8702" width="6" style="66" customWidth="1"/>
    <col min="8703" max="8703" width="14.625" style="66" customWidth="1"/>
    <col min="8704" max="8704" width="25.5" style="66" customWidth="1"/>
    <col min="8705" max="8716" width="17.25" style="66" bestFit="1" customWidth="1"/>
    <col min="8717" max="8717" width="10" style="66" customWidth="1"/>
    <col min="8718" max="8718" width="18.375" style="66" bestFit="1" customWidth="1"/>
    <col min="8719" max="8719" width="8.625" style="66" customWidth="1"/>
    <col min="8720" max="8720" width="17.625" style="66" bestFit="1" customWidth="1"/>
    <col min="8721" max="8721" width="16.625" style="66"/>
    <col min="8722" max="8722" width="17.625" style="66" bestFit="1" customWidth="1"/>
    <col min="8723" max="8957" width="16.625" style="66"/>
    <col min="8958" max="8958" width="6" style="66" customWidth="1"/>
    <col min="8959" max="8959" width="14.625" style="66" customWidth="1"/>
    <col min="8960" max="8960" width="25.5" style="66" customWidth="1"/>
    <col min="8961" max="8972" width="17.25" style="66" bestFit="1" customWidth="1"/>
    <col min="8973" max="8973" width="10" style="66" customWidth="1"/>
    <col min="8974" max="8974" width="18.375" style="66" bestFit="1" customWidth="1"/>
    <col min="8975" max="8975" width="8.625" style="66" customWidth="1"/>
    <col min="8976" max="8976" width="17.625" style="66" bestFit="1" customWidth="1"/>
    <col min="8977" max="8977" width="16.625" style="66"/>
    <col min="8978" max="8978" width="17.625" style="66" bestFit="1" customWidth="1"/>
    <col min="8979" max="9213" width="16.625" style="66"/>
    <col min="9214" max="9214" width="6" style="66" customWidth="1"/>
    <col min="9215" max="9215" width="14.625" style="66" customWidth="1"/>
    <col min="9216" max="9216" width="25.5" style="66" customWidth="1"/>
    <col min="9217" max="9228" width="17.25" style="66" bestFit="1" customWidth="1"/>
    <col min="9229" max="9229" width="10" style="66" customWidth="1"/>
    <col min="9230" max="9230" width="18.375" style="66" bestFit="1" customWidth="1"/>
    <col min="9231" max="9231" width="8.625" style="66" customWidth="1"/>
    <col min="9232" max="9232" width="17.625" style="66" bestFit="1" customWidth="1"/>
    <col min="9233" max="9233" width="16.625" style="66"/>
    <col min="9234" max="9234" width="17.625" style="66" bestFit="1" customWidth="1"/>
    <col min="9235" max="9469" width="16.625" style="66"/>
    <col min="9470" max="9470" width="6" style="66" customWidth="1"/>
    <col min="9471" max="9471" width="14.625" style="66" customWidth="1"/>
    <col min="9472" max="9472" width="25.5" style="66" customWidth="1"/>
    <col min="9473" max="9484" width="17.25" style="66" bestFit="1" customWidth="1"/>
    <col min="9485" max="9485" width="10" style="66" customWidth="1"/>
    <col min="9486" max="9486" width="18.375" style="66" bestFit="1" customWidth="1"/>
    <col min="9487" max="9487" width="8.625" style="66" customWidth="1"/>
    <col min="9488" max="9488" width="17.625" style="66" bestFit="1" customWidth="1"/>
    <col min="9489" max="9489" width="16.625" style="66"/>
    <col min="9490" max="9490" width="17.625" style="66" bestFit="1" customWidth="1"/>
    <col min="9491" max="9725" width="16.625" style="66"/>
    <col min="9726" max="9726" width="6" style="66" customWidth="1"/>
    <col min="9727" max="9727" width="14.625" style="66" customWidth="1"/>
    <col min="9728" max="9728" width="25.5" style="66" customWidth="1"/>
    <col min="9729" max="9740" width="17.25" style="66" bestFit="1" customWidth="1"/>
    <col min="9741" max="9741" width="10" style="66" customWidth="1"/>
    <col min="9742" max="9742" width="18.375" style="66" bestFit="1" customWidth="1"/>
    <col min="9743" max="9743" width="8.625" style="66" customWidth="1"/>
    <col min="9744" max="9744" width="17.625" style="66" bestFit="1" customWidth="1"/>
    <col min="9745" max="9745" width="16.625" style="66"/>
    <col min="9746" max="9746" width="17.625" style="66" bestFit="1" customWidth="1"/>
    <col min="9747" max="9981" width="16.625" style="66"/>
    <col min="9982" max="9982" width="6" style="66" customWidth="1"/>
    <col min="9983" max="9983" width="14.625" style="66" customWidth="1"/>
    <col min="9984" max="9984" width="25.5" style="66" customWidth="1"/>
    <col min="9985" max="9996" width="17.25" style="66" bestFit="1" customWidth="1"/>
    <col min="9997" max="9997" width="10" style="66" customWidth="1"/>
    <col min="9998" max="9998" width="18.375" style="66" bestFit="1" customWidth="1"/>
    <col min="9999" max="9999" width="8.625" style="66" customWidth="1"/>
    <col min="10000" max="10000" width="17.625" style="66" bestFit="1" customWidth="1"/>
    <col min="10001" max="10001" width="16.625" style="66"/>
    <col min="10002" max="10002" width="17.625" style="66" bestFit="1" customWidth="1"/>
    <col min="10003" max="10237" width="16.625" style="66"/>
    <col min="10238" max="10238" width="6" style="66" customWidth="1"/>
    <col min="10239" max="10239" width="14.625" style="66" customWidth="1"/>
    <col min="10240" max="10240" width="25.5" style="66" customWidth="1"/>
    <col min="10241" max="10252" width="17.25" style="66" bestFit="1" customWidth="1"/>
    <col min="10253" max="10253" width="10" style="66" customWidth="1"/>
    <col min="10254" max="10254" width="18.375" style="66" bestFit="1" customWidth="1"/>
    <col min="10255" max="10255" width="8.625" style="66" customWidth="1"/>
    <col min="10256" max="10256" width="17.625" style="66" bestFit="1" customWidth="1"/>
    <col min="10257" max="10257" width="16.625" style="66"/>
    <col min="10258" max="10258" width="17.625" style="66" bestFit="1" customWidth="1"/>
    <col min="10259" max="10493" width="16.625" style="66"/>
    <col min="10494" max="10494" width="6" style="66" customWidth="1"/>
    <col min="10495" max="10495" width="14.625" style="66" customWidth="1"/>
    <col min="10496" max="10496" width="25.5" style="66" customWidth="1"/>
    <col min="10497" max="10508" width="17.25" style="66" bestFit="1" customWidth="1"/>
    <col min="10509" max="10509" width="10" style="66" customWidth="1"/>
    <col min="10510" max="10510" width="18.375" style="66" bestFit="1" customWidth="1"/>
    <col min="10511" max="10511" width="8.625" style="66" customWidth="1"/>
    <col min="10512" max="10512" width="17.625" style="66" bestFit="1" customWidth="1"/>
    <col min="10513" max="10513" width="16.625" style="66"/>
    <col min="10514" max="10514" width="17.625" style="66" bestFit="1" customWidth="1"/>
    <col min="10515" max="10749" width="16.625" style="66"/>
    <col min="10750" max="10750" width="6" style="66" customWidth="1"/>
    <col min="10751" max="10751" width="14.625" style="66" customWidth="1"/>
    <col min="10752" max="10752" width="25.5" style="66" customWidth="1"/>
    <col min="10753" max="10764" width="17.25" style="66" bestFit="1" customWidth="1"/>
    <col min="10765" max="10765" width="10" style="66" customWidth="1"/>
    <col min="10766" max="10766" width="18.375" style="66" bestFit="1" customWidth="1"/>
    <col min="10767" max="10767" width="8.625" style="66" customWidth="1"/>
    <col min="10768" max="10768" width="17.625" style="66" bestFit="1" customWidth="1"/>
    <col min="10769" max="10769" width="16.625" style="66"/>
    <col min="10770" max="10770" width="17.625" style="66" bestFit="1" customWidth="1"/>
    <col min="10771" max="11005" width="16.625" style="66"/>
    <col min="11006" max="11006" width="6" style="66" customWidth="1"/>
    <col min="11007" max="11007" width="14.625" style="66" customWidth="1"/>
    <col min="11008" max="11008" width="25.5" style="66" customWidth="1"/>
    <col min="11009" max="11020" width="17.25" style="66" bestFit="1" customWidth="1"/>
    <col min="11021" max="11021" width="10" style="66" customWidth="1"/>
    <col min="11022" max="11022" width="18.375" style="66" bestFit="1" customWidth="1"/>
    <col min="11023" max="11023" width="8.625" style="66" customWidth="1"/>
    <col min="11024" max="11024" width="17.625" style="66" bestFit="1" customWidth="1"/>
    <col min="11025" max="11025" width="16.625" style="66"/>
    <col min="11026" max="11026" width="17.625" style="66" bestFit="1" customWidth="1"/>
    <col min="11027" max="11261" width="16.625" style="66"/>
    <col min="11262" max="11262" width="6" style="66" customWidth="1"/>
    <col min="11263" max="11263" width="14.625" style="66" customWidth="1"/>
    <col min="11264" max="11264" width="25.5" style="66" customWidth="1"/>
    <col min="11265" max="11276" width="17.25" style="66" bestFit="1" customWidth="1"/>
    <col min="11277" max="11277" width="10" style="66" customWidth="1"/>
    <col min="11278" max="11278" width="18.375" style="66" bestFit="1" customWidth="1"/>
    <col min="11279" max="11279" width="8.625" style="66" customWidth="1"/>
    <col min="11280" max="11280" width="17.625" style="66" bestFit="1" customWidth="1"/>
    <col min="11281" max="11281" width="16.625" style="66"/>
    <col min="11282" max="11282" width="17.625" style="66" bestFit="1" customWidth="1"/>
    <col min="11283" max="11517" width="16.625" style="66"/>
    <col min="11518" max="11518" width="6" style="66" customWidth="1"/>
    <col min="11519" max="11519" width="14.625" style="66" customWidth="1"/>
    <col min="11520" max="11520" width="25.5" style="66" customWidth="1"/>
    <col min="11521" max="11532" width="17.25" style="66" bestFit="1" customWidth="1"/>
    <col min="11533" max="11533" width="10" style="66" customWidth="1"/>
    <col min="11534" max="11534" width="18.375" style="66" bestFit="1" customWidth="1"/>
    <col min="11535" max="11535" width="8.625" style="66" customWidth="1"/>
    <col min="11536" max="11536" width="17.625" style="66" bestFit="1" customWidth="1"/>
    <col min="11537" max="11537" width="16.625" style="66"/>
    <col min="11538" max="11538" width="17.625" style="66" bestFit="1" customWidth="1"/>
    <col min="11539" max="11773" width="16.625" style="66"/>
    <col min="11774" max="11774" width="6" style="66" customWidth="1"/>
    <col min="11775" max="11775" width="14.625" style="66" customWidth="1"/>
    <col min="11776" max="11776" width="25.5" style="66" customWidth="1"/>
    <col min="11777" max="11788" width="17.25" style="66" bestFit="1" customWidth="1"/>
    <col min="11789" max="11789" width="10" style="66" customWidth="1"/>
    <col min="11790" max="11790" width="18.375" style="66" bestFit="1" customWidth="1"/>
    <col min="11791" max="11791" width="8.625" style="66" customWidth="1"/>
    <col min="11792" max="11792" width="17.625" style="66" bestFit="1" customWidth="1"/>
    <col min="11793" max="11793" width="16.625" style="66"/>
    <col min="11794" max="11794" width="17.625" style="66" bestFit="1" customWidth="1"/>
    <col min="11795" max="12029" width="16.625" style="66"/>
    <col min="12030" max="12030" width="6" style="66" customWidth="1"/>
    <col min="12031" max="12031" width="14.625" style="66" customWidth="1"/>
    <col min="12032" max="12032" width="25.5" style="66" customWidth="1"/>
    <col min="12033" max="12044" width="17.25" style="66" bestFit="1" customWidth="1"/>
    <col min="12045" max="12045" width="10" style="66" customWidth="1"/>
    <col min="12046" max="12046" width="18.375" style="66" bestFit="1" customWidth="1"/>
    <col min="12047" max="12047" width="8.625" style="66" customWidth="1"/>
    <col min="12048" max="12048" width="17.625" style="66" bestFit="1" customWidth="1"/>
    <col min="12049" max="12049" width="16.625" style="66"/>
    <col min="12050" max="12050" width="17.625" style="66" bestFit="1" customWidth="1"/>
    <col min="12051" max="12285" width="16.625" style="66"/>
    <col min="12286" max="12286" width="6" style="66" customWidth="1"/>
    <col min="12287" max="12287" width="14.625" style="66" customWidth="1"/>
    <col min="12288" max="12288" width="25.5" style="66" customWidth="1"/>
    <col min="12289" max="12300" width="17.25" style="66" bestFit="1" customWidth="1"/>
    <col min="12301" max="12301" width="10" style="66" customWidth="1"/>
    <col min="12302" max="12302" width="18.375" style="66" bestFit="1" customWidth="1"/>
    <col min="12303" max="12303" width="8.625" style="66" customWidth="1"/>
    <col min="12304" max="12304" width="17.625" style="66" bestFit="1" customWidth="1"/>
    <col min="12305" max="12305" width="16.625" style="66"/>
    <col min="12306" max="12306" width="17.625" style="66" bestFit="1" customWidth="1"/>
    <col min="12307" max="12541" width="16.625" style="66"/>
    <col min="12542" max="12542" width="6" style="66" customWidth="1"/>
    <col min="12543" max="12543" width="14.625" style="66" customWidth="1"/>
    <col min="12544" max="12544" width="25.5" style="66" customWidth="1"/>
    <col min="12545" max="12556" width="17.25" style="66" bestFit="1" customWidth="1"/>
    <col min="12557" max="12557" width="10" style="66" customWidth="1"/>
    <col min="12558" max="12558" width="18.375" style="66" bestFit="1" customWidth="1"/>
    <col min="12559" max="12559" width="8.625" style="66" customWidth="1"/>
    <col min="12560" max="12560" width="17.625" style="66" bestFit="1" customWidth="1"/>
    <col min="12561" max="12561" width="16.625" style="66"/>
    <col min="12562" max="12562" width="17.625" style="66" bestFit="1" customWidth="1"/>
    <col min="12563" max="12797" width="16.625" style="66"/>
    <col min="12798" max="12798" width="6" style="66" customWidth="1"/>
    <col min="12799" max="12799" width="14.625" style="66" customWidth="1"/>
    <col min="12800" max="12800" width="25.5" style="66" customWidth="1"/>
    <col min="12801" max="12812" width="17.25" style="66" bestFit="1" customWidth="1"/>
    <col min="12813" max="12813" width="10" style="66" customWidth="1"/>
    <col min="12814" max="12814" width="18.375" style="66" bestFit="1" customWidth="1"/>
    <col min="12815" max="12815" width="8.625" style="66" customWidth="1"/>
    <col min="12816" max="12816" width="17.625" style="66" bestFit="1" customWidth="1"/>
    <col min="12817" max="12817" width="16.625" style="66"/>
    <col min="12818" max="12818" width="17.625" style="66" bestFit="1" customWidth="1"/>
    <col min="12819" max="13053" width="16.625" style="66"/>
    <col min="13054" max="13054" width="6" style="66" customWidth="1"/>
    <col min="13055" max="13055" width="14.625" style="66" customWidth="1"/>
    <col min="13056" max="13056" width="25.5" style="66" customWidth="1"/>
    <col min="13057" max="13068" width="17.25" style="66" bestFit="1" customWidth="1"/>
    <col min="13069" max="13069" width="10" style="66" customWidth="1"/>
    <col min="13070" max="13070" width="18.375" style="66" bestFit="1" customWidth="1"/>
    <col min="13071" max="13071" width="8.625" style="66" customWidth="1"/>
    <col min="13072" max="13072" width="17.625" style="66" bestFit="1" customWidth="1"/>
    <col min="13073" max="13073" width="16.625" style="66"/>
    <col min="13074" max="13074" width="17.625" style="66" bestFit="1" customWidth="1"/>
    <col min="13075" max="13309" width="16.625" style="66"/>
    <col min="13310" max="13310" width="6" style="66" customWidth="1"/>
    <col min="13311" max="13311" width="14.625" style="66" customWidth="1"/>
    <col min="13312" max="13312" width="25.5" style="66" customWidth="1"/>
    <col min="13313" max="13324" width="17.25" style="66" bestFit="1" customWidth="1"/>
    <col min="13325" max="13325" width="10" style="66" customWidth="1"/>
    <col min="13326" max="13326" width="18.375" style="66" bestFit="1" customWidth="1"/>
    <col min="13327" max="13327" width="8.625" style="66" customWidth="1"/>
    <col min="13328" max="13328" width="17.625" style="66" bestFit="1" customWidth="1"/>
    <col min="13329" max="13329" width="16.625" style="66"/>
    <col min="13330" max="13330" width="17.625" style="66" bestFit="1" customWidth="1"/>
    <col min="13331" max="13565" width="16.625" style="66"/>
    <col min="13566" max="13566" width="6" style="66" customWidth="1"/>
    <col min="13567" max="13567" width="14.625" style="66" customWidth="1"/>
    <col min="13568" max="13568" width="25.5" style="66" customWidth="1"/>
    <col min="13569" max="13580" width="17.25" style="66" bestFit="1" customWidth="1"/>
    <col min="13581" max="13581" width="10" style="66" customWidth="1"/>
    <col min="13582" max="13582" width="18.375" style="66" bestFit="1" customWidth="1"/>
    <col min="13583" max="13583" width="8.625" style="66" customWidth="1"/>
    <col min="13584" max="13584" width="17.625" style="66" bestFit="1" customWidth="1"/>
    <col min="13585" max="13585" width="16.625" style="66"/>
    <col min="13586" max="13586" width="17.625" style="66" bestFit="1" customWidth="1"/>
    <col min="13587" max="13821" width="16.625" style="66"/>
    <col min="13822" max="13822" width="6" style="66" customWidth="1"/>
    <col min="13823" max="13823" width="14.625" style="66" customWidth="1"/>
    <col min="13824" max="13824" width="25.5" style="66" customWidth="1"/>
    <col min="13825" max="13836" width="17.25" style="66" bestFit="1" customWidth="1"/>
    <col min="13837" max="13837" width="10" style="66" customWidth="1"/>
    <col min="13838" max="13838" width="18.375" style="66" bestFit="1" customWidth="1"/>
    <col min="13839" max="13839" width="8.625" style="66" customWidth="1"/>
    <col min="13840" max="13840" width="17.625" style="66" bestFit="1" customWidth="1"/>
    <col min="13841" max="13841" width="16.625" style="66"/>
    <col min="13842" max="13842" width="17.625" style="66" bestFit="1" customWidth="1"/>
    <col min="13843" max="14077" width="16.625" style="66"/>
    <col min="14078" max="14078" width="6" style="66" customWidth="1"/>
    <col min="14079" max="14079" width="14.625" style="66" customWidth="1"/>
    <col min="14080" max="14080" width="25.5" style="66" customWidth="1"/>
    <col min="14081" max="14092" width="17.25" style="66" bestFit="1" customWidth="1"/>
    <col min="14093" max="14093" width="10" style="66" customWidth="1"/>
    <col min="14094" max="14094" width="18.375" style="66" bestFit="1" customWidth="1"/>
    <col min="14095" max="14095" width="8.625" style="66" customWidth="1"/>
    <col min="14096" max="14096" width="17.625" style="66" bestFit="1" customWidth="1"/>
    <col min="14097" max="14097" width="16.625" style="66"/>
    <col min="14098" max="14098" width="17.625" style="66" bestFit="1" customWidth="1"/>
    <col min="14099" max="14333" width="16.625" style="66"/>
    <col min="14334" max="14334" width="6" style="66" customWidth="1"/>
    <col min="14335" max="14335" width="14.625" style="66" customWidth="1"/>
    <col min="14336" max="14336" width="25.5" style="66" customWidth="1"/>
    <col min="14337" max="14348" width="17.25" style="66" bestFit="1" customWidth="1"/>
    <col min="14349" max="14349" width="10" style="66" customWidth="1"/>
    <col min="14350" max="14350" width="18.375" style="66" bestFit="1" customWidth="1"/>
    <col min="14351" max="14351" width="8.625" style="66" customWidth="1"/>
    <col min="14352" max="14352" width="17.625" style="66" bestFit="1" customWidth="1"/>
    <col min="14353" max="14353" width="16.625" style="66"/>
    <col min="14354" max="14354" width="17.625" style="66" bestFit="1" customWidth="1"/>
    <col min="14355" max="14589" width="16.625" style="66"/>
    <col min="14590" max="14590" width="6" style="66" customWidth="1"/>
    <col min="14591" max="14591" width="14.625" style="66" customWidth="1"/>
    <col min="14592" max="14592" width="25.5" style="66" customWidth="1"/>
    <col min="14593" max="14604" width="17.25" style="66" bestFit="1" customWidth="1"/>
    <col min="14605" max="14605" width="10" style="66" customWidth="1"/>
    <col min="14606" max="14606" width="18.375" style="66" bestFit="1" customWidth="1"/>
    <col min="14607" max="14607" width="8.625" style="66" customWidth="1"/>
    <col min="14608" max="14608" width="17.625" style="66" bestFit="1" customWidth="1"/>
    <col min="14609" max="14609" width="16.625" style="66"/>
    <col min="14610" max="14610" width="17.625" style="66" bestFit="1" customWidth="1"/>
    <col min="14611" max="14845" width="16.625" style="66"/>
    <col min="14846" max="14846" width="6" style="66" customWidth="1"/>
    <col min="14847" max="14847" width="14.625" style="66" customWidth="1"/>
    <col min="14848" max="14848" width="25.5" style="66" customWidth="1"/>
    <col min="14849" max="14860" width="17.25" style="66" bestFit="1" customWidth="1"/>
    <col min="14861" max="14861" width="10" style="66" customWidth="1"/>
    <col min="14862" max="14862" width="18.375" style="66" bestFit="1" customWidth="1"/>
    <col min="14863" max="14863" width="8.625" style="66" customWidth="1"/>
    <col min="14864" max="14864" width="17.625" style="66" bestFit="1" customWidth="1"/>
    <col min="14865" max="14865" width="16.625" style="66"/>
    <col min="14866" max="14866" width="17.625" style="66" bestFit="1" customWidth="1"/>
    <col min="14867" max="15101" width="16.625" style="66"/>
    <col min="15102" max="15102" width="6" style="66" customWidth="1"/>
    <col min="15103" max="15103" width="14.625" style="66" customWidth="1"/>
    <col min="15104" max="15104" width="25.5" style="66" customWidth="1"/>
    <col min="15105" max="15116" width="17.25" style="66" bestFit="1" customWidth="1"/>
    <col min="15117" max="15117" width="10" style="66" customWidth="1"/>
    <col min="15118" max="15118" width="18.375" style="66" bestFit="1" customWidth="1"/>
    <col min="15119" max="15119" width="8.625" style="66" customWidth="1"/>
    <col min="15120" max="15120" width="17.625" style="66" bestFit="1" customWidth="1"/>
    <col min="15121" max="15121" width="16.625" style="66"/>
    <col min="15122" max="15122" width="17.625" style="66" bestFit="1" customWidth="1"/>
    <col min="15123" max="15357" width="16.625" style="66"/>
    <col min="15358" max="15358" width="6" style="66" customWidth="1"/>
    <col min="15359" max="15359" width="14.625" style="66" customWidth="1"/>
    <col min="15360" max="15360" width="25.5" style="66" customWidth="1"/>
    <col min="15361" max="15372" width="17.25" style="66" bestFit="1" customWidth="1"/>
    <col min="15373" max="15373" width="10" style="66" customWidth="1"/>
    <col min="15374" max="15374" width="18.375" style="66" bestFit="1" customWidth="1"/>
    <col min="15375" max="15375" width="8.625" style="66" customWidth="1"/>
    <col min="15376" max="15376" width="17.625" style="66" bestFit="1" customWidth="1"/>
    <col min="15377" max="15377" width="16.625" style="66"/>
    <col min="15378" max="15378" width="17.625" style="66" bestFit="1" customWidth="1"/>
    <col min="15379" max="15613" width="16.625" style="66"/>
    <col min="15614" max="15614" width="6" style="66" customWidth="1"/>
    <col min="15615" max="15615" width="14.625" style="66" customWidth="1"/>
    <col min="15616" max="15616" width="25.5" style="66" customWidth="1"/>
    <col min="15617" max="15628" width="17.25" style="66" bestFit="1" customWidth="1"/>
    <col min="15629" max="15629" width="10" style="66" customWidth="1"/>
    <col min="15630" max="15630" width="18.375" style="66" bestFit="1" customWidth="1"/>
    <col min="15631" max="15631" width="8.625" style="66" customWidth="1"/>
    <col min="15632" max="15632" width="17.625" style="66" bestFit="1" customWidth="1"/>
    <col min="15633" max="15633" width="16.625" style="66"/>
    <col min="15634" max="15634" width="17.625" style="66" bestFit="1" customWidth="1"/>
    <col min="15635" max="15869" width="16.625" style="66"/>
    <col min="15870" max="15870" width="6" style="66" customWidth="1"/>
    <col min="15871" max="15871" width="14.625" style="66" customWidth="1"/>
    <col min="15872" max="15872" width="25.5" style="66" customWidth="1"/>
    <col min="15873" max="15884" width="17.25" style="66" bestFit="1" customWidth="1"/>
    <col min="15885" max="15885" width="10" style="66" customWidth="1"/>
    <col min="15886" max="15886" width="18.375" style="66" bestFit="1" customWidth="1"/>
    <col min="15887" max="15887" width="8.625" style="66" customWidth="1"/>
    <col min="15888" max="15888" width="17.625" style="66" bestFit="1" customWidth="1"/>
    <col min="15889" max="15889" width="16.625" style="66"/>
    <col min="15890" max="15890" width="17.625" style="66" bestFit="1" customWidth="1"/>
    <col min="15891" max="16125" width="16.625" style="66"/>
    <col min="16126" max="16126" width="6" style="66" customWidth="1"/>
    <col min="16127" max="16127" width="14.625" style="66" customWidth="1"/>
    <col min="16128" max="16128" width="25.5" style="66" customWidth="1"/>
    <col min="16129" max="16140" width="17.25" style="66" bestFit="1" customWidth="1"/>
    <col min="16141" max="16141" width="10" style="66" customWidth="1"/>
    <col min="16142" max="16142" width="18.375" style="66" bestFit="1" customWidth="1"/>
    <col min="16143" max="16143" width="8.625" style="66" customWidth="1"/>
    <col min="16144" max="16144" width="17.625" style="66" bestFit="1" customWidth="1"/>
    <col min="16145" max="16145" width="16.625" style="66"/>
    <col min="16146" max="16146" width="17.625" style="66" bestFit="1" customWidth="1"/>
    <col min="16147" max="16384" width="16.625" style="66"/>
  </cols>
  <sheetData>
    <row r="1" spans="1:18" s="41" customFormat="1" ht="28.5" customHeight="1" thickBot="1" x14ac:dyDescent="0.35">
      <c r="A1" s="83" t="s">
        <v>226</v>
      </c>
      <c r="N1" s="241" t="s">
        <v>348</v>
      </c>
      <c r="O1" s="392">
        <v>42.369</v>
      </c>
      <c r="P1" s="71"/>
      <c r="R1" s="216" t="s">
        <v>371</v>
      </c>
    </row>
    <row r="2" spans="1:18" ht="29.25" customHeight="1" thickBot="1" x14ac:dyDescent="0.35">
      <c r="A2" s="424" t="s">
        <v>73</v>
      </c>
      <c r="B2" s="424"/>
      <c r="C2" s="85">
        <v>1</v>
      </c>
      <c r="D2" s="85">
        <v>2</v>
      </c>
      <c r="E2" s="85">
        <v>3</v>
      </c>
      <c r="F2" s="85">
        <v>4</v>
      </c>
      <c r="G2" s="85">
        <v>5</v>
      </c>
      <c r="H2" s="85">
        <v>6</v>
      </c>
      <c r="I2" s="85">
        <v>7</v>
      </c>
      <c r="J2" s="85">
        <v>8</v>
      </c>
      <c r="K2" s="85">
        <v>9</v>
      </c>
      <c r="L2" s="85">
        <v>10</v>
      </c>
      <c r="M2" s="85">
        <v>11</v>
      </c>
      <c r="N2" s="85">
        <v>12</v>
      </c>
      <c r="O2" s="85" t="s">
        <v>74</v>
      </c>
      <c r="P2" s="71">
        <v>1</v>
      </c>
      <c r="R2" s="88" t="s">
        <v>372</v>
      </c>
    </row>
    <row r="3" spans="1:18" ht="18.75" customHeight="1" x14ac:dyDescent="0.3">
      <c r="A3" s="426" t="s">
        <v>227</v>
      </c>
      <c r="B3" s="235"/>
      <c r="C3" s="217">
        <v>2514</v>
      </c>
      <c r="D3" s="217">
        <v>1896</v>
      </c>
      <c r="E3" s="217">
        <v>1311</v>
      </c>
      <c r="F3" s="217">
        <v>913</v>
      </c>
      <c r="G3" s="217">
        <v>1180</v>
      </c>
      <c r="H3" s="217">
        <v>1298</v>
      </c>
      <c r="I3" s="217">
        <v>1130</v>
      </c>
      <c r="J3" s="217">
        <v>1397</v>
      </c>
      <c r="K3" s="217">
        <v>1576</v>
      </c>
      <c r="L3" s="217">
        <v>1185</v>
      </c>
      <c r="M3" s="217">
        <v>1125</v>
      </c>
      <c r="N3" s="217">
        <v>1197</v>
      </c>
      <c r="O3" s="249">
        <f>SUM(C3:N3)</f>
        <v>16722</v>
      </c>
      <c r="P3" s="71">
        <v>2</v>
      </c>
    </row>
    <row r="4" spans="1:18" ht="18.75" customHeight="1" x14ac:dyDescent="0.3">
      <c r="A4" s="426"/>
      <c r="B4" s="243" t="s">
        <v>230</v>
      </c>
      <c r="C4" s="248">
        <f>C3</f>
        <v>2514</v>
      </c>
      <c r="D4" s="248">
        <f>C4+D3</f>
        <v>4410</v>
      </c>
      <c r="E4" s="248">
        <f t="shared" ref="E4" si="0">D4+E3</f>
        <v>5721</v>
      </c>
      <c r="F4" s="248">
        <f t="shared" ref="F4" si="1">E4+F3</f>
        <v>6634</v>
      </c>
      <c r="G4" s="248">
        <f t="shared" ref="G4" si="2">F4+G3</f>
        <v>7814</v>
      </c>
      <c r="H4" s="248">
        <f t="shared" ref="H4" si="3">G4+H3</f>
        <v>9112</v>
      </c>
      <c r="I4" s="248">
        <f t="shared" ref="I4" si="4">H4+I3</f>
        <v>10242</v>
      </c>
      <c r="J4" s="248">
        <f t="shared" ref="J4" si="5">I4+J3</f>
        <v>11639</v>
      </c>
      <c r="K4" s="248">
        <f t="shared" ref="K4" si="6">J4+K3</f>
        <v>13215</v>
      </c>
      <c r="L4" s="248">
        <f t="shared" ref="L4" si="7">K4+L3</f>
        <v>14400</v>
      </c>
      <c r="M4" s="248">
        <f t="shared" ref="M4" si="8">L4+M3</f>
        <v>15525</v>
      </c>
      <c r="N4" s="248">
        <f t="shared" ref="N4" si="9">M4+N3</f>
        <v>16722</v>
      </c>
      <c r="O4" s="70"/>
      <c r="P4" s="71">
        <v>3</v>
      </c>
    </row>
    <row r="5" spans="1:18" ht="18.75" customHeight="1" x14ac:dyDescent="0.3">
      <c r="A5" s="426" t="s">
        <v>228</v>
      </c>
      <c r="B5" s="235"/>
      <c r="C5" s="217">
        <v>281</v>
      </c>
      <c r="D5" s="217">
        <v>196</v>
      </c>
      <c r="E5" s="217">
        <v>153</v>
      </c>
      <c r="F5" s="217">
        <v>152</v>
      </c>
      <c r="G5" s="217">
        <v>145</v>
      </c>
      <c r="H5" s="217">
        <v>153</v>
      </c>
      <c r="I5" s="217">
        <v>179</v>
      </c>
      <c r="J5" s="217">
        <v>170</v>
      </c>
      <c r="K5" s="217">
        <v>185</v>
      </c>
      <c r="L5" s="217">
        <v>209</v>
      </c>
      <c r="M5" s="217">
        <v>245</v>
      </c>
      <c r="N5" s="217">
        <v>304</v>
      </c>
      <c r="O5" s="249">
        <f>SUM(C5:N5)</f>
        <v>2372</v>
      </c>
      <c r="P5" s="71">
        <v>4</v>
      </c>
    </row>
    <row r="6" spans="1:18" ht="18.75" customHeight="1" x14ac:dyDescent="0.3">
      <c r="A6" s="426"/>
      <c r="B6" s="243" t="s">
        <v>234</v>
      </c>
      <c r="C6" s="248">
        <f>C5</f>
        <v>281</v>
      </c>
      <c r="D6" s="248">
        <f t="shared" ref="D6" si="10">C6+D5</f>
        <v>477</v>
      </c>
      <c r="E6" s="248">
        <f t="shared" ref="E6" si="11">D6+E5</f>
        <v>630</v>
      </c>
      <c r="F6" s="248">
        <f t="shared" ref="F6" si="12">E6+F5</f>
        <v>782</v>
      </c>
      <c r="G6" s="248">
        <f t="shared" ref="G6" si="13">F6+G5</f>
        <v>927</v>
      </c>
      <c r="H6" s="248">
        <f t="shared" ref="H6" si="14">G6+H5</f>
        <v>1080</v>
      </c>
      <c r="I6" s="248">
        <f t="shared" ref="I6" si="15">H6+I5</f>
        <v>1259</v>
      </c>
      <c r="J6" s="248">
        <f t="shared" ref="J6" si="16">I6+J5</f>
        <v>1429</v>
      </c>
      <c r="K6" s="248">
        <f t="shared" ref="K6" si="17">J6+K5</f>
        <v>1614</v>
      </c>
      <c r="L6" s="248">
        <f t="shared" ref="L6" si="18">K6+L5</f>
        <v>1823</v>
      </c>
      <c r="M6" s="248">
        <f t="shared" ref="M6" si="19">L6+M5</f>
        <v>2068</v>
      </c>
      <c r="N6" s="248">
        <f t="shared" ref="N6" si="20">M6+N5</f>
        <v>2372</v>
      </c>
      <c r="O6" s="70"/>
      <c r="P6" s="71">
        <v>5</v>
      </c>
    </row>
    <row r="7" spans="1:18" ht="18.75" customHeight="1" x14ac:dyDescent="0.3">
      <c r="A7" s="425" t="s">
        <v>19</v>
      </c>
      <c r="B7" s="425"/>
      <c r="C7" s="244">
        <f t="shared" ref="C7:N7" si="21">C3+C5</f>
        <v>2795</v>
      </c>
      <c r="D7" s="244">
        <f t="shared" si="21"/>
        <v>2092</v>
      </c>
      <c r="E7" s="244">
        <f t="shared" si="21"/>
        <v>1464</v>
      </c>
      <c r="F7" s="244">
        <f t="shared" si="21"/>
        <v>1065</v>
      </c>
      <c r="G7" s="244">
        <f t="shared" si="21"/>
        <v>1325</v>
      </c>
      <c r="H7" s="244">
        <f t="shared" si="21"/>
        <v>1451</v>
      </c>
      <c r="I7" s="244">
        <f t="shared" si="21"/>
        <v>1309</v>
      </c>
      <c r="J7" s="244">
        <f t="shared" si="21"/>
        <v>1567</v>
      </c>
      <c r="K7" s="244">
        <f t="shared" si="21"/>
        <v>1761</v>
      </c>
      <c r="L7" s="244">
        <f t="shared" si="21"/>
        <v>1394</v>
      </c>
      <c r="M7" s="244">
        <f t="shared" si="21"/>
        <v>1370</v>
      </c>
      <c r="N7" s="244">
        <f t="shared" si="21"/>
        <v>1501</v>
      </c>
      <c r="O7" s="244">
        <f>SUM(C7:N7)</f>
        <v>19094</v>
      </c>
      <c r="P7" s="71">
        <v>6</v>
      </c>
    </row>
    <row r="8" spans="1:18" ht="18.75" customHeight="1" x14ac:dyDescent="0.3">
      <c r="A8" s="426" t="s">
        <v>88</v>
      </c>
      <c r="B8" s="235"/>
      <c r="C8" s="217">
        <v>66</v>
      </c>
      <c r="D8" s="217">
        <v>57</v>
      </c>
      <c r="E8" s="217">
        <v>71</v>
      </c>
      <c r="F8" s="217">
        <v>72</v>
      </c>
      <c r="G8" s="217">
        <v>72</v>
      </c>
      <c r="H8" s="217">
        <v>67</v>
      </c>
      <c r="I8" s="217">
        <v>70</v>
      </c>
      <c r="J8" s="217">
        <v>65</v>
      </c>
      <c r="K8" s="217">
        <v>69</v>
      </c>
      <c r="L8" s="217">
        <v>77</v>
      </c>
      <c r="M8" s="217">
        <v>92</v>
      </c>
      <c r="N8" s="217">
        <v>90</v>
      </c>
      <c r="O8" s="249">
        <f>SUM(C8:N8)</f>
        <v>868</v>
      </c>
      <c r="P8" s="71">
        <v>7</v>
      </c>
    </row>
    <row r="9" spans="1:18" ht="18.75" customHeight="1" x14ac:dyDescent="0.3">
      <c r="A9" s="426"/>
      <c r="B9" s="243" t="s">
        <v>235</v>
      </c>
      <c r="C9" s="248">
        <f>C8</f>
        <v>66</v>
      </c>
      <c r="D9" s="248">
        <f>C9+D8</f>
        <v>123</v>
      </c>
      <c r="E9" s="248">
        <f t="shared" ref="E9" si="22">D9+E8</f>
        <v>194</v>
      </c>
      <c r="F9" s="248">
        <f t="shared" ref="F9" si="23">E9+F8</f>
        <v>266</v>
      </c>
      <c r="G9" s="248">
        <f t="shared" ref="G9" si="24">F9+G8</f>
        <v>338</v>
      </c>
      <c r="H9" s="248">
        <f t="shared" ref="H9" si="25">G9+H8</f>
        <v>405</v>
      </c>
      <c r="I9" s="248">
        <f t="shared" ref="I9" si="26">H9+I8</f>
        <v>475</v>
      </c>
      <c r="J9" s="248">
        <f t="shared" ref="J9" si="27">I9+J8</f>
        <v>540</v>
      </c>
      <c r="K9" s="248">
        <f t="shared" ref="K9" si="28">J9+K8</f>
        <v>609</v>
      </c>
      <c r="L9" s="248">
        <f t="shared" ref="L9" si="29">K9+L8</f>
        <v>686</v>
      </c>
      <c r="M9" s="248">
        <f t="shared" ref="M9" si="30">L9+M8</f>
        <v>778</v>
      </c>
      <c r="N9" s="248">
        <f t="shared" ref="N9" si="31">M9+N8</f>
        <v>868</v>
      </c>
      <c r="O9" s="70"/>
      <c r="P9" s="71">
        <v>8</v>
      </c>
    </row>
    <row r="10" spans="1:18" ht="18.75" customHeight="1" x14ac:dyDescent="0.3">
      <c r="A10" s="426" t="s">
        <v>231</v>
      </c>
      <c r="B10" s="235"/>
      <c r="C10" s="217">
        <v>31</v>
      </c>
      <c r="D10" s="217">
        <v>24</v>
      </c>
      <c r="E10" s="217">
        <v>27</v>
      </c>
      <c r="F10" s="217">
        <v>33</v>
      </c>
      <c r="G10" s="217">
        <v>25</v>
      </c>
      <c r="H10" s="217">
        <v>22</v>
      </c>
      <c r="I10" s="217">
        <v>23</v>
      </c>
      <c r="J10" s="217">
        <v>27</v>
      </c>
      <c r="K10" s="217">
        <v>16</v>
      </c>
      <c r="L10" s="217">
        <v>23</v>
      </c>
      <c r="M10" s="217">
        <v>32</v>
      </c>
      <c r="N10" s="217">
        <v>30</v>
      </c>
      <c r="O10" s="249">
        <f>SUM(C10:N10)</f>
        <v>313</v>
      </c>
      <c r="P10" s="71">
        <v>9</v>
      </c>
    </row>
    <row r="11" spans="1:18" ht="18.75" customHeight="1" x14ac:dyDescent="0.3">
      <c r="A11" s="426"/>
      <c r="B11" s="243" t="s">
        <v>229</v>
      </c>
      <c r="C11" s="248">
        <f>C10</f>
        <v>31</v>
      </c>
      <c r="D11" s="248">
        <f t="shared" ref="D11" si="32">C11+D10</f>
        <v>55</v>
      </c>
      <c r="E11" s="248">
        <f t="shared" ref="E11" si="33">D11+E10</f>
        <v>82</v>
      </c>
      <c r="F11" s="248">
        <f t="shared" ref="F11" si="34">E11+F10</f>
        <v>115</v>
      </c>
      <c r="G11" s="248">
        <f t="shared" ref="G11" si="35">F11+G10</f>
        <v>140</v>
      </c>
      <c r="H11" s="248">
        <f t="shared" ref="H11" si="36">G11+H10</f>
        <v>162</v>
      </c>
      <c r="I11" s="248">
        <f t="shared" ref="I11" si="37">H11+I10</f>
        <v>185</v>
      </c>
      <c r="J11" s="248">
        <f t="shared" ref="J11" si="38">I11+J10</f>
        <v>212</v>
      </c>
      <c r="K11" s="248">
        <f t="shared" ref="K11" si="39">J11+K10</f>
        <v>228</v>
      </c>
      <c r="L11" s="248">
        <f t="shared" ref="L11" si="40">K11+L10</f>
        <v>251</v>
      </c>
      <c r="M11" s="248">
        <f t="shared" ref="M11" si="41">L11+M10</f>
        <v>283</v>
      </c>
      <c r="N11" s="248">
        <f t="shared" ref="N11" si="42">M11+N10</f>
        <v>313</v>
      </c>
      <c r="O11" s="70"/>
      <c r="P11" s="71">
        <v>10</v>
      </c>
    </row>
    <row r="12" spans="1:18" ht="18.75" customHeight="1" x14ac:dyDescent="0.3">
      <c r="A12" s="426" t="s">
        <v>232</v>
      </c>
      <c r="B12" s="235"/>
      <c r="C12" s="217">
        <v>1</v>
      </c>
      <c r="D12" s="217">
        <v>1</v>
      </c>
      <c r="E12" s="217">
        <v>0</v>
      </c>
      <c r="F12" s="217">
        <v>1</v>
      </c>
      <c r="G12" s="217">
        <v>1</v>
      </c>
      <c r="H12" s="217">
        <v>1</v>
      </c>
      <c r="I12" s="217">
        <v>0</v>
      </c>
      <c r="J12" s="217">
        <v>1</v>
      </c>
      <c r="K12" s="217">
        <v>0</v>
      </c>
      <c r="L12" s="217">
        <v>1</v>
      </c>
      <c r="M12" s="217">
        <v>3</v>
      </c>
      <c r="N12" s="217">
        <v>2</v>
      </c>
      <c r="O12" s="249">
        <f>SUM(C12:N12)</f>
        <v>12</v>
      </c>
      <c r="P12" s="71">
        <v>11</v>
      </c>
    </row>
    <row r="13" spans="1:18" ht="18.75" customHeight="1" x14ac:dyDescent="0.3">
      <c r="A13" s="426"/>
      <c r="B13" s="243" t="s">
        <v>235</v>
      </c>
      <c r="C13" s="248">
        <f>C12</f>
        <v>1</v>
      </c>
      <c r="D13" s="248">
        <f>C13+D12</f>
        <v>2</v>
      </c>
      <c r="E13" s="248">
        <f t="shared" ref="E13" si="43">D13+E12</f>
        <v>2</v>
      </c>
      <c r="F13" s="248">
        <f t="shared" ref="F13" si="44">E13+F12</f>
        <v>3</v>
      </c>
      <c r="G13" s="248">
        <f t="shared" ref="G13" si="45">F13+G12</f>
        <v>4</v>
      </c>
      <c r="H13" s="248">
        <f t="shared" ref="H13" si="46">G13+H12</f>
        <v>5</v>
      </c>
      <c r="I13" s="248">
        <f t="shared" ref="I13" si="47">H13+I12</f>
        <v>5</v>
      </c>
      <c r="J13" s="248">
        <f t="shared" ref="J13" si="48">I13+J12</f>
        <v>6</v>
      </c>
      <c r="K13" s="248">
        <f t="shared" ref="K13" si="49">J13+K12</f>
        <v>6</v>
      </c>
      <c r="L13" s="248">
        <f t="shared" ref="L13" si="50">K13+L12</f>
        <v>7</v>
      </c>
      <c r="M13" s="248">
        <f t="shared" ref="M13" si="51">L13+M12</f>
        <v>10</v>
      </c>
      <c r="N13" s="248">
        <f t="shared" ref="N13" si="52">M13+N12</f>
        <v>12</v>
      </c>
      <c r="O13" s="70"/>
      <c r="P13" s="71">
        <v>12</v>
      </c>
    </row>
    <row r="14" spans="1:18" ht="18.75" customHeight="1" x14ac:dyDescent="0.3">
      <c r="A14" s="426" t="s">
        <v>233</v>
      </c>
      <c r="B14" s="235"/>
      <c r="C14" s="217">
        <v>0</v>
      </c>
      <c r="D14" s="217">
        <v>0</v>
      </c>
      <c r="E14" s="217">
        <v>0</v>
      </c>
      <c r="F14" s="217">
        <v>1</v>
      </c>
      <c r="G14" s="217">
        <v>0</v>
      </c>
      <c r="H14" s="217">
        <v>0</v>
      </c>
      <c r="I14" s="217">
        <v>4</v>
      </c>
      <c r="J14" s="217">
        <v>1</v>
      </c>
      <c r="K14" s="217">
        <v>0</v>
      </c>
      <c r="L14" s="217">
        <v>0</v>
      </c>
      <c r="M14" s="217">
        <v>0</v>
      </c>
      <c r="N14" s="217">
        <v>1</v>
      </c>
      <c r="O14" s="249">
        <f>SUM(C14:N14)</f>
        <v>7</v>
      </c>
      <c r="P14" s="71">
        <v>13</v>
      </c>
    </row>
    <row r="15" spans="1:18" ht="18.75" customHeight="1" x14ac:dyDescent="0.3">
      <c r="A15" s="426"/>
      <c r="B15" s="243" t="s">
        <v>229</v>
      </c>
      <c r="C15" s="248">
        <f>C14</f>
        <v>0</v>
      </c>
      <c r="D15" s="248">
        <f t="shared" ref="D15" si="53">C15+D14</f>
        <v>0</v>
      </c>
      <c r="E15" s="248">
        <f t="shared" ref="E15" si="54">D15+E14</f>
        <v>0</v>
      </c>
      <c r="F15" s="248">
        <f t="shared" ref="F15" si="55">E15+F14</f>
        <v>1</v>
      </c>
      <c r="G15" s="248">
        <f t="shared" ref="G15" si="56">F15+G14</f>
        <v>1</v>
      </c>
      <c r="H15" s="248">
        <f t="shared" ref="H15" si="57">G15+H14</f>
        <v>1</v>
      </c>
      <c r="I15" s="248">
        <f t="shared" ref="I15" si="58">H15+I14</f>
        <v>5</v>
      </c>
      <c r="J15" s="248">
        <f t="shared" ref="J15" si="59">I15+J14</f>
        <v>6</v>
      </c>
      <c r="K15" s="248">
        <f t="shared" ref="K15" si="60">J15+K14</f>
        <v>6</v>
      </c>
      <c r="L15" s="248">
        <f t="shared" ref="L15" si="61">K15+L14</f>
        <v>6</v>
      </c>
      <c r="M15" s="248">
        <f t="shared" ref="M15" si="62">L15+M14</f>
        <v>6</v>
      </c>
      <c r="N15" s="248">
        <f t="shared" ref="N15" si="63">M15+N14</f>
        <v>7</v>
      </c>
      <c r="O15" s="70"/>
      <c r="P15" s="71">
        <v>14</v>
      </c>
    </row>
    <row r="16" spans="1:18" ht="18.75" customHeight="1" x14ac:dyDescent="0.3">
      <c r="A16" s="425" t="s">
        <v>236</v>
      </c>
      <c r="B16" s="245"/>
      <c r="C16" s="244">
        <f t="shared" ref="C16:N16" si="64">SUM(C3,C5,C8,C10,C12,C14)</f>
        <v>2893</v>
      </c>
      <c r="D16" s="244">
        <f t="shared" si="64"/>
        <v>2174</v>
      </c>
      <c r="E16" s="244">
        <f t="shared" si="64"/>
        <v>1562</v>
      </c>
      <c r="F16" s="244">
        <f t="shared" si="64"/>
        <v>1172</v>
      </c>
      <c r="G16" s="244">
        <f t="shared" si="64"/>
        <v>1423</v>
      </c>
      <c r="H16" s="244">
        <f t="shared" si="64"/>
        <v>1541</v>
      </c>
      <c r="I16" s="244">
        <f t="shared" si="64"/>
        <v>1406</v>
      </c>
      <c r="J16" s="244">
        <f t="shared" si="64"/>
        <v>1661</v>
      </c>
      <c r="K16" s="244">
        <f t="shared" si="64"/>
        <v>1846</v>
      </c>
      <c r="L16" s="244">
        <f t="shared" si="64"/>
        <v>1495</v>
      </c>
      <c r="M16" s="244">
        <f t="shared" si="64"/>
        <v>1497</v>
      </c>
      <c r="N16" s="244">
        <f t="shared" si="64"/>
        <v>1624</v>
      </c>
      <c r="O16" s="244">
        <f>SUM(C16:N16)</f>
        <v>20294</v>
      </c>
      <c r="P16" s="71">
        <v>15</v>
      </c>
    </row>
    <row r="17" spans="1:20" ht="18.75" customHeight="1" x14ac:dyDescent="0.3">
      <c r="A17" s="425"/>
      <c r="B17" s="246" t="s">
        <v>229</v>
      </c>
      <c r="C17" s="247">
        <f>C16</f>
        <v>2893</v>
      </c>
      <c r="D17" s="247">
        <f t="shared" ref="D17" si="65">C17+D16</f>
        <v>5067</v>
      </c>
      <c r="E17" s="247">
        <f t="shared" ref="E17" si="66">D17+E16</f>
        <v>6629</v>
      </c>
      <c r="F17" s="247">
        <f t="shared" ref="F17" si="67">E17+F16</f>
        <v>7801</v>
      </c>
      <c r="G17" s="247">
        <f t="shared" ref="G17" si="68">F17+G16</f>
        <v>9224</v>
      </c>
      <c r="H17" s="247">
        <f t="shared" ref="H17" si="69">G17+H16</f>
        <v>10765</v>
      </c>
      <c r="I17" s="247">
        <f t="shared" ref="I17" si="70">H17+I16</f>
        <v>12171</v>
      </c>
      <c r="J17" s="247">
        <f t="shared" ref="J17" si="71">I17+J16</f>
        <v>13832</v>
      </c>
      <c r="K17" s="247">
        <f t="shared" ref="K17" si="72">J17+K16</f>
        <v>15678</v>
      </c>
      <c r="L17" s="247">
        <f t="shared" ref="L17" si="73">K17+L16</f>
        <v>17173</v>
      </c>
      <c r="M17" s="247">
        <f t="shared" ref="M17" si="74">L17+M16</f>
        <v>18670</v>
      </c>
      <c r="N17" s="247">
        <f t="shared" ref="N17" si="75">M17+N16</f>
        <v>20294</v>
      </c>
      <c r="O17" s="244"/>
      <c r="P17" s="71">
        <v>16</v>
      </c>
      <c r="R17" s="87"/>
    </row>
    <row r="18" spans="1:20" ht="18.75" customHeight="1" x14ac:dyDescent="0.3">
      <c r="A18" s="72"/>
      <c r="P18" s="71">
        <v>17</v>
      </c>
    </row>
    <row r="19" spans="1:20" s="41" customFormat="1" ht="28.5" customHeight="1" x14ac:dyDescent="0.3">
      <c r="A19" s="83" t="s">
        <v>237</v>
      </c>
      <c r="P19" s="71">
        <v>18</v>
      </c>
    </row>
    <row r="20" spans="1:20" ht="29.25" customHeight="1" thickBot="1" x14ac:dyDescent="0.35">
      <c r="A20" s="427" t="s">
        <v>73</v>
      </c>
      <c r="B20" s="428"/>
      <c r="C20" s="85">
        <v>1</v>
      </c>
      <c r="D20" s="85">
        <v>2</v>
      </c>
      <c r="E20" s="85">
        <v>3</v>
      </c>
      <c r="F20" s="85">
        <v>4</v>
      </c>
      <c r="G20" s="85">
        <v>5</v>
      </c>
      <c r="H20" s="85">
        <v>6</v>
      </c>
      <c r="I20" s="85">
        <v>7</v>
      </c>
      <c r="J20" s="85">
        <v>8</v>
      </c>
      <c r="K20" s="85">
        <v>9</v>
      </c>
      <c r="L20" s="85">
        <v>10</v>
      </c>
      <c r="M20" s="85">
        <v>11</v>
      </c>
      <c r="N20" s="85">
        <v>12</v>
      </c>
      <c r="O20" s="85" t="s">
        <v>74</v>
      </c>
      <c r="P20" s="71">
        <v>19</v>
      </c>
      <c r="R20" s="66" t="s">
        <v>350</v>
      </c>
      <c r="S20" s="66" t="s">
        <v>349</v>
      </c>
    </row>
    <row r="21" spans="1:20" ht="18.75" customHeight="1" thickBot="1" x14ac:dyDescent="0.35">
      <c r="A21" s="429" t="s">
        <v>238</v>
      </c>
      <c r="B21" s="235"/>
      <c r="C21" s="67">
        <f>ROUND(C3*$R$21,0)</f>
        <v>119164</v>
      </c>
      <c r="D21" s="67">
        <f t="shared" ref="D21:N21" si="76">ROUND(D3*$R$21,0)</f>
        <v>89870</v>
      </c>
      <c r="E21" s="67">
        <f t="shared" si="76"/>
        <v>62141</v>
      </c>
      <c r="F21" s="67">
        <f t="shared" si="76"/>
        <v>43276</v>
      </c>
      <c r="G21" s="67">
        <f t="shared" si="76"/>
        <v>55932</v>
      </c>
      <c r="H21" s="67">
        <f t="shared" si="76"/>
        <v>61525</v>
      </c>
      <c r="I21" s="67">
        <f t="shared" si="76"/>
        <v>53562</v>
      </c>
      <c r="J21" s="67">
        <f t="shared" si="76"/>
        <v>66218</v>
      </c>
      <c r="K21" s="67">
        <f t="shared" si="76"/>
        <v>74702</v>
      </c>
      <c r="L21" s="67">
        <f t="shared" si="76"/>
        <v>56169</v>
      </c>
      <c r="M21" s="67">
        <f t="shared" si="76"/>
        <v>53325</v>
      </c>
      <c r="N21" s="67">
        <f t="shared" si="76"/>
        <v>56738</v>
      </c>
      <c r="O21" s="67">
        <f>SUM(C21:N21)</f>
        <v>792622</v>
      </c>
      <c r="P21" s="71">
        <v>20</v>
      </c>
      <c r="Q21" s="86" t="s">
        <v>5</v>
      </c>
      <c r="R21" s="260">
        <v>47.4</v>
      </c>
      <c r="S21" s="262">
        <v>50.42</v>
      </c>
      <c r="T21" s="345">
        <f>R21-S21</f>
        <v>-3.0200000000000031</v>
      </c>
    </row>
    <row r="22" spans="1:20" ht="18.75" customHeight="1" x14ac:dyDescent="0.3">
      <c r="A22" s="430"/>
      <c r="B22" s="84" t="s">
        <v>86</v>
      </c>
      <c r="C22" s="68">
        <f>C21</f>
        <v>119164</v>
      </c>
      <c r="D22" s="68">
        <f>C22+D21</f>
        <v>209034</v>
      </c>
      <c r="E22" s="68">
        <f t="shared" ref="E22:N23" si="77">D22+E21</f>
        <v>271175</v>
      </c>
      <c r="F22" s="68">
        <f t="shared" si="77"/>
        <v>314451</v>
      </c>
      <c r="G22" s="68">
        <f t="shared" si="77"/>
        <v>370383</v>
      </c>
      <c r="H22" s="68">
        <f t="shared" si="77"/>
        <v>431908</v>
      </c>
      <c r="I22" s="68">
        <f t="shared" si="77"/>
        <v>485470</v>
      </c>
      <c r="J22" s="68">
        <f t="shared" si="77"/>
        <v>551688</v>
      </c>
      <c r="K22" s="68">
        <f t="shared" si="77"/>
        <v>626390</v>
      </c>
      <c r="L22" s="68">
        <f t="shared" si="77"/>
        <v>682559</v>
      </c>
      <c r="M22" s="68">
        <f t="shared" si="77"/>
        <v>735884</v>
      </c>
      <c r="N22" s="68">
        <f t="shared" si="77"/>
        <v>792622</v>
      </c>
      <c r="O22" s="293">
        <f>SUM(C22:N22)</f>
        <v>5590728</v>
      </c>
      <c r="P22" s="71">
        <v>21</v>
      </c>
      <c r="R22" s="261"/>
      <c r="S22" s="262"/>
      <c r="T22" s="345"/>
    </row>
    <row r="23" spans="1:20" ht="18.75" customHeight="1" thickBot="1" x14ac:dyDescent="0.35">
      <c r="A23" s="431"/>
      <c r="B23" s="250" t="s">
        <v>87</v>
      </c>
      <c r="C23" s="251">
        <f>C22</f>
        <v>119164</v>
      </c>
      <c r="D23" s="251">
        <f>C23+D22</f>
        <v>328198</v>
      </c>
      <c r="E23" s="251">
        <f t="shared" si="77"/>
        <v>599373</v>
      </c>
      <c r="F23" s="251">
        <f>E23+F22</f>
        <v>913824</v>
      </c>
      <c r="G23" s="251">
        <f t="shared" si="77"/>
        <v>1284207</v>
      </c>
      <c r="H23" s="251">
        <f t="shared" si="77"/>
        <v>1716115</v>
      </c>
      <c r="I23" s="251">
        <f t="shared" si="77"/>
        <v>2201585</v>
      </c>
      <c r="J23" s="251">
        <f t="shared" si="77"/>
        <v>2753273</v>
      </c>
      <c r="K23" s="251">
        <f t="shared" si="77"/>
        <v>3379663</v>
      </c>
      <c r="L23" s="251">
        <f t="shared" si="77"/>
        <v>4062222</v>
      </c>
      <c r="M23" s="251">
        <f t="shared" si="77"/>
        <v>4798106</v>
      </c>
      <c r="N23" s="251">
        <f t="shared" si="77"/>
        <v>5590728</v>
      </c>
      <c r="O23" s="252" t="b">
        <f>EXACT(O22,N23)</f>
        <v>1</v>
      </c>
      <c r="P23" s="71">
        <v>22</v>
      </c>
      <c r="R23" s="262"/>
      <c r="S23" s="262"/>
      <c r="T23" s="345"/>
    </row>
    <row r="24" spans="1:20" ht="18.75" customHeight="1" thickBot="1" x14ac:dyDescent="0.35">
      <c r="A24" s="429" t="s">
        <v>253</v>
      </c>
      <c r="B24" s="235"/>
      <c r="C24" s="67">
        <f>ROUND(C5*$R$24,0)</f>
        <v>11746</v>
      </c>
      <c r="D24" s="67">
        <f t="shared" ref="D24:N24" si="78">ROUND(D5*$R$24,0)</f>
        <v>8193</v>
      </c>
      <c r="E24" s="67">
        <f t="shared" si="78"/>
        <v>6395</v>
      </c>
      <c r="F24" s="67">
        <f t="shared" si="78"/>
        <v>6354</v>
      </c>
      <c r="G24" s="67">
        <f t="shared" si="78"/>
        <v>6061</v>
      </c>
      <c r="H24" s="67">
        <f t="shared" si="78"/>
        <v>6395</v>
      </c>
      <c r="I24" s="67">
        <f t="shared" si="78"/>
        <v>7482</v>
      </c>
      <c r="J24" s="67">
        <f t="shared" si="78"/>
        <v>7106</v>
      </c>
      <c r="K24" s="67">
        <f t="shared" si="78"/>
        <v>7733</v>
      </c>
      <c r="L24" s="67">
        <f t="shared" si="78"/>
        <v>8736</v>
      </c>
      <c r="M24" s="67">
        <f t="shared" si="78"/>
        <v>10241</v>
      </c>
      <c r="N24" s="67">
        <f t="shared" si="78"/>
        <v>12707</v>
      </c>
      <c r="O24" s="67">
        <f>SUM(C24:N24)</f>
        <v>99149</v>
      </c>
      <c r="P24" s="71">
        <v>23</v>
      </c>
      <c r="Q24" s="86" t="s">
        <v>62</v>
      </c>
      <c r="R24" s="260">
        <v>41.8</v>
      </c>
      <c r="S24" s="262">
        <v>44.11</v>
      </c>
      <c r="T24" s="345">
        <f>R24-S24</f>
        <v>-2.3100000000000023</v>
      </c>
    </row>
    <row r="25" spans="1:20" ht="18.75" customHeight="1" x14ac:dyDescent="0.3">
      <c r="A25" s="430"/>
      <c r="B25" s="84" t="s">
        <v>86</v>
      </c>
      <c r="C25" s="68">
        <f>C24</f>
        <v>11746</v>
      </c>
      <c r="D25" s="68">
        <f>C25+D24</f>
        <v>19939</v>
      </c>
      <c r="E25" s="68">
        <f t="shared" ref="E25:E26" si="79">D25+E24</f>
        <v>26334</v>
      </c>
      <c r="F25" s="68">
        <f t="shared" ref="F25" si="80">E25+F24</f>
        <v>32688</v>
      </c>
      <c r="G25" s="68">
        <f t="shared" ref="G25:G26" si="81">F25+G24</f>
        <v>38749</v>
      </c>
      <c r="H25" s="68">
        <f t="shared" ref="H25:H26" si="82">G25+H24</f>
        <v>45144</v>
      </c>
      <c r="I25" s="68">
        <f t="shared" ref="I25:I26" si="83">H25+I24</f>
        <v>52626</v>
      </c>
      <c r="J25" s="68">
        <f t="shared" ref="J25:J26" si="84">I25+J24</f>
        <v>59732</v>
      </c>
      <c r="K25" s="68">
        <f t="shared" ref="K25:K26" si="85">J25+K24</f>
        <v>67465</v>
      </c>
      <c r="L25" s="68">
        <f t="shared" ref="L25:L26" si="86">K25+L24</f>
        <v>76201</v>
      </c>
      <c r="M25" s="68">
        <f t="shared" ref="M25:M26" si="87">L25+M24</f>
        <v>86442</v>
      </c>
      <c r="N25" s="68">
        <f t="shared" ref="N25:N26" si="88">M25+N24</f>
        <v>99149</v>
      </c>
      <c r="O25" s="293">
        <f>SUM(C25:N25)</f>
        <v>616215</v>
      </c>
      <c r="P25" s="71">
        <v>24</v>
      </c>
      <c r="R25" s="261"/>
      <c r="S25" s="262"/>
      <c r="T25" s="345"/>
    </row>
    <row r="26" spans="1:20" ht="18.75" customHeight="1" thickBot="1" x14ac:dyDescent="0.35">
      <c r="A26" s="430"/>
      <c r="B26" s="253" t="s">
        <v>87</v>
      </c>
      <c r="C26" s="254">
        <f>C25</f>
        <v>11746</v>
      </c>
      <c r="D26" s="254">
        <f>C26+D25</f>
        <v>31685</v>
      </c>
      <c r="E26" s="254">
        <f t="shared" si="79"/>
        <v>58019</v>
      </c>
      <c r="F26" s="254">
        <f>E26+F25</f>
        <v>90707</v>
      </c>
      <c r="G26" s="254">
        <f t="shared" si="81"/>
        <v>129456</v>
      </c>
      <c r="H26" s="254">
        <f t="shared" si="82"/>
        <v>174600</v>
      </c>
      <c r="I26" s="254">
        <f t="shared" si="83"/>
        <v>227226</v>
      </c>
      <c r="J26" s="254">
        <f t="shared" si="84"/>
        <v>286958</v>
      </c>
      <c r="K26" s="254">
        <f t="shared" si="85"/>
        <v>354423</v>
      </c>
      <c r="L26" s="254">
        <f t="shared" si="86"/>
        <v>430624</v>
      </c>
      <c r="M26" s="254">
        <f t="shared" si="87"/>
        <v>517066</v>
      </c>
      <c r="N26" s="254">
        <f t="shared" si="88"/>
        <v>616215</v>
      </c>
      <c r="O26" s="255" t="b">
        <f>EXACT(O25,N26)</f>
        <v>1</v>
      </c>
      <c r="P26" s="71">
        <v>25</v>
      </c>
      <c r="R26" s="262"/>
      <c r="S26" s="262"/>
      <c r="T26" s="345"/>
    </row>
    <row r="27" spans="1:20" ht="18.75" customHeight="1" x14ac:dyDescent="0.3">
      <c r="A27" s="432" t="s">
        <v>239</v>
      </c>
      <c r="B27" s="256"/>
      <c r="C27" s="236">
        <f t="shared" ref="C27:N27" si="89">C21+C24</f>
        <v>130910</v>
      </c>
      <c r="D27" s="236">
        <f t="shared" si="89"/>
        <v>98063</v>
      </c>
      <c r="E27" s="236">
        <f t="shared" si="89"/>
        <v>68536</v>
      </c>
      <c r="F27" s="236">
        <f t="shared" si="89"/>
        <v>49630</v>
      </c>
      <c r="G27" s="236">
        <f t="shared" si="89"/>
        <v>61993</v>
      </c>
      <c r="H27" s="236">
        <f t="shared" si="89"/>
        <v>67920</v>
      </c>
      <c r="I27" s="236">
        <f t="shared" si="89"/>
        <v>61044</v>
      </c>
      <c r="J27" s="236">
        <f t="shared" si="89"/>
        <v>73324</v>
      </c>
      <c r="K27" s="236">
        <f t="shared" si="89"/>
        <v>82435</v>
      </c>
      <c r="L27" s="236">
        <f t="shared" si="89"/>
        <v>64905</v>
      </c>
      <c r="M27" s="236">
        <f t="shared" si="89"/>
        <v>63566</v>
      </c>
      <c r="N27" s="236">
        <f t="shared" si="89"/>
        <v>69445</v>
      </c>
      <c r="O27" s="237">
        <f>SUM(C27:N27)</f>
        <v>891771</v>
      </c>
      <c r="P27" s="71">
        <v>26</v>
      </c>
      <c r="R27" s="262"/>
      <c r="S27" s="262"/>
      <c r="T27" s="345"/>
    </row>
    <row r="28" spans="1:20" ht="18.75" customHeight="1" x14ac:dyDescent="0.3">
      <c r="A28" s="433"/>
      <c r="B28" s="84" t="s">
        <v>86</v>
      </c>
      <c r="C28" s="68">
        <f>C27</f>
        <v>130910</v>
      </c>
      <c r="D28" s="68">
        <f>C28+D27</f>
        <v>228973</v>
      </c>
      <c r="E28" s="68">
        <f t="shared" ref="E28:E29" si="90">D28+E27</f>
        <v>297509</v>
      </c>
      <c r="F28" s="68">
        <f t="shared" ref="F28" si="91">E28+F27</f>
        <v>347139</v>
      </c>
      <c r="G28" s="68">
        <f t="shared" ref="G28:G29" si="92">F28+G27</f>
        <v>409132</v>
      </c>
      <c r="H28" s="68">
        <f t="shared" ref="H28:H29" si="93">G28+H27</f>
        <v>477052</v>
      </c>
      <c r="I28" s="68">
        <f t="shared" ref="I28:I29" si="94">H28+I27</f>
        <v>538096</v>
      </c>
      <c r="J28" s="68">
        <f t="shared" ref="J28:J29" si="95">I28+J27</f>
        <v>611420</v>
      </c>
      <c r="K28" s="68">
        <f t="shared" ref="K28:K29" si="96">J28+K27</f>
        <v>693855</v>
      </c>
      <c r="L28" s="68">
        <f t="shared" ref="L28:L29" si="97">K28+L27</f>
        <v>758760</v>
      </c>
      <c r="M28" s="68">
        <f t="shared" ref="M28:M29" si="98">L28+M27</f>
        <v>822326</v>
      </c>
      <c r="N28" s="68">
        <f t="shared" ref="N28:N29" si="99">M28+N27</f>
        <v>891771</v>
      </c>
      <c r="O28" s="294">
        <f>SUM(C28:N28)</f>
        <v>6206943</v>
      </c>
      <c r="P28" s="71">
        <v>27</v>
      </c>
      <c r="R28" s="262"/>
      <c r="S28" s="262"/>
      <c r="T28" s="345"/>
    </row>
    <row r="29" spans="1:20" ht="18.75" customHeight="1" thickBot="1" x14ac:dyDescent="0.35">
      <c r="A29" s="434"/>
      <c r="B29" s="257" t="s">
        <v>87</v>
      </c>
      <c r="C29" s="258">
        <f>C28</f>
        <v>130910</v>
      </c>
      <c r="D29" s="258">
        <f>C29+D28</f>
        <v>359883</v>
      </c>
      <c r="E29" s="258">
        <f t="shared" si="90"/>
        <v>657392</v>
      </c>
      <c r="F29" s="258">
        <f>E29+F28</f>
        <v>1004531</v>
      </c>
      <c r="G29" s="258">
        <f t="shared" si="92"/>
        <v>1413663</v>
      </c>
      <c r="H29" s="258">
        <f t="shared" si="93"/>
        <v>1890715</v>
      </c>
      <c r="I29" s="258">
        <f t="shared" si="94"/>
        <v>2428811</v>
      </c>
      <c r="J29" s="258">
        <f t="shared" si="95"/>
        <v>3040231</v>
      </c>
      <c r="K29" s="258">
        <f t="shared" si="96"/>
        <v>3734086</v>
      </c>
      <c r="L29" s="258">
        <f t="shared" si="97"/>
        <v>4492846</v>
      </c>
      <c r="M29" s="258">
        <f t="shared" si="98"/>
        <v>5315172</v>
      </c>
      <c r="N29" s="258">
        <f t="shared" si="99"/>
        <v>6206943</v>
      </c>
      <c r="O29" s="259" t="b">
        <f>N29=(N23+N26)</f>
        <v>1</v>
      </c>
      <c r="P29" s="71">
        <v>28</v>
      </c>
      <c r="R29" s="262"/>
      <c r="S29" s="262"/>
      <c r="T29" s="345"/>
    </row>
    <row r="30" spans="1:20" ht="18.75" customHeight="1" thickBot="1" x14ac:dyDescent="0.35">
      <c r="A30" s="429" t="s">
        <v>88</v>
      </c>
      <c r="B30" s="235"/>
      <c r="C30" s="67">
        <f t="shared" ref="C30:N30" si="100">ROUND(C8*$R$30,0)</f>
        <v>13233</v>
      </c>
      <c r="D30" s="67">
        <f t="shared" si="100"/>
        <v>11429</v>
      </c>
      <c r="E30" s="67">
        <f t="shared" si="100"/>
        <v>14236</v>
      </c>
      <c r="F30" s="67">
        <f t="shared" si="100"/>
        <v>14436</v>
      </c>
      <c r="G30" s="67">
        <f t="shared" si="100"/>
        <v>14436</v>
      </c>
      <c r="H30" s="67">
        <f t="shared" si="100"/>
        <v>13434</v>
      </c>
      <c r="I30" s="67">
        <f t="shared" si="100"/>
        <v>14035</v>
      </c>
      <c r="J30" s="67">
        <f t="shared" si="100"/>
        <v>13033</v>
      </c>
      <c r="K30" s="67">
        <f t="shared" si="100"/>
        <v>13835</v>
      </c>
      <c r="L30" s="67">
        <f t="shared" si="100"/>
        <v>15439</v>
      </c>
      <c r="M30" s="67">
        <f t="shared" si="100"/>
        <v>18446</v>
      </c>
      <c r="N30" s="67">
        <f t="shared" si="100"/>
        <v>18045</v>
      </c>
      <c r="O30" s="67">
        <f>SUM(C30:N30)</f>
        <v>174037</v>
      </c>
      <c r="P30" s="71">
        <v>29</v>
      </c>
      <c r="Q30" s="86" t="s">
        <v>244</v>
      </c>
      <c r="R30" s="260">
        <v>200.5</v>
      </c>
      <c r="S30" s="262">
        <v>118</v>
      </c>
      <c r="T30" s="345">
        <f>R30-S30</f>
        <v>82.5</v>
      </c>
    </row>
    <row r="31" spans="1:20" ht="18.75" customHeight="1" x14ac:dyDescent="0.3">
      <c r="A31" s="430"/>
      <c r="B31" s="84" t="s">
        <v>86</v>
      </c>
      <c r="C31" s="68">
        <f>C30</f>
        <v>13233</v>
      </c>
      <c r="D31" s="68">
        <f>C31+D30</f>
        <v>24662</v>
      </c>
      <c r="E31" s="68">
        <f t="shared" ref="E31:E32" si="101">D31+E30</f>
        <v>38898</v>
      </c>
      <c r="F31" s="68">
        <f t="shared" ref="F31" si="102">E31+F30</f>
        <v>53334</v>
      </c>
      <c r="G31" s="68">
        <f t="shared" ref="G31:G32" si="103">F31+G30</f>
        <v>67770</v>
      </c>
      <c r="H31" s="68">
        <f t="shared" ref="H31:H32" si="104">G31+H30</f>
        <v>81204</v>
      </c>
      <c r="I31" s="68">
        <f t="shared" ref="I31:I32" si="105">H31+I30</f>
        <v>95239</v>
      </c>
      <c r="J31" s="68">
        <f t="shared" ref="J31:J32" si="106">I31+J30</f>
        <v>108272</v>
      </c>
      <c r="K31" s="68">
        <f t="shared" ref="K31:K32" si="107">J31+K30</f>
        <v>122107</v>
      </c>
      <c r="L31" s="68">
        <f t="shared" ref="L31:L32" si="108">K31+L30</f>
        <v>137546</v>
      </c>
      <c r="M31" s="68">
        <f t="shared" ref="M31:M32" si="109">L31+M30</f>
        <v>155992</v>
      </c>
      <c r="N31" s="68">
        <f t="shared" ref="N31:N32" si="110">M31+N30</f>
        <v>174037</v>
      </c>
      <c r="O31" s="293">
        <f>SUM(C31:N31)</f>
        <v>1072294</v>
      </c>
      <c r="P31" s="71">
        <v>30</v>
      </c>
    </row>
    <row r="32" spans="1:20" ht="18.75" customHeight="1" x14ac:dyDescent="0.3">
      <c r="A32" s="431"/>
      <c r="B32" s="250" t="s">
        <v>87</v>
      </c>
      <c r="C32" s="251">
        <f>C31</f>
        <v>13233</v>
      </c>
      <c r="D32" s="251">
        <f>C32+D31</f>
        <v>37895</v>
      </c>
      <c r="E32" s="251">
        <f t="shared" si="101"/>
        <v>76793</v>
      </c>
      <c r="F32" s="251">
        <f>E32+F31</f>
        <v>130127</v>
      </c>
      <c r="G32" s="251">
        <f t="shared" si="103"/>
        <v>197897</v>
      </c>
      <c r="H32" s="251">
        <f t="shared" si="104"/>
        <v>279101</v>
      </c>
      <c r="I32" s="251">
        <f t="shared" si="105"/>
        <v>374340</v>
      </c>
      <c r="J32" s="251">
        <f t="shared" si="106"/>
        <v>482612</v>
      </c>
      <c r="K32" s="251">
        <f t="shared" si="107"/>
        <v>604719</v>
      </c>
      <c r="L32" s="251">
        <f t="shared" si="108"/>
        <v>742265</v>
      </c>
      <c r="M32" s="251">
        <f t="shared" si="109"/>
        <v>898257</v>
      </c>
      <c r="N32" s="251">
        <f t="shared" si="110"/>
        <v>1072294</v>
      </c>
      <c r="O32" s="252" t="b">
        <f>EXACT(O31,N32)</f>
        <v>1</v>
      </c>
      <c r="P32" s="71">
        <v>31</v>
      </c>
    </row>
    <row r="33" spans="1:17" ht="18.75" customHeight="1" x14ac:dyDescent="0.3">
      <c r="A33" s="429" t="s">
        <v>240</v>
      </c>
      <c r="B33" s="235"/>
      <c r="C33" s="67">
        <f>'5. 업무용 판매량(2025년)'!D116</f>
        <v>12720</v>
      </c>
      <c r="D33" s="67">
        <f>'5. 업무용 판매량(2025년)'!E116</f>
        <v>14061</v>
      </c>
      <c r="E33" s="67">
        <f>'5. 업무용 판매량(2025년)'!F116</f>
        <v>14748</v>
      </c>
      <c r="F33" s="67">
        <f>'5. 업무용 판매량(2025년)'!G116</f>
        <v>18134</v>
      </c>
      <c r="G33" s="67">
        <f>'5. 업무용 판매량(2025년)'!H116</f>
        <v>15552</v>
      </c>
      <c r="H33" s="67">
        <f>'5. 업무용 판매량(2025년)'!I116</f>
        <v>9691</v>
      </c>
      <c r="I33" s="67">
        <f>'5. 업무용 판매량(2025년)'!J116</f>
        <v>13799</v>
      </c>
      <c r="J33" s="67">
        <f>'5. 업무용 판매량(2025년)'!K116</f>
        <v>20789</v>
      </c>
      <c r="K33" s="67">
        <f>'5. 업무용 판매량(2025년)'!L116</f>
        <v>11310</v>
      </c>
      <c r="L33" s="67">
        <f>'5. 업무용 판매량(2025년)'!M116</f>
        <v>18011</v>
      </c>
      <c r="M33" s="67">
        <f>'5. 업무용 판매량(2025년)'!N116</f>
        <v>14393</v>
      </c>
      <c r="N33" s="67">
        <f>'5. 업무용 판매량(2025년)'!O116</f>
        <v>20189</v>
      </c>
      <c r="O33" s="67">
        <f>SUM(C33:N33)</f>
        <v>183397</v>
      </c>
      <c r="P33" s="71">
        <v>32</v>
      </c>
    </row>
    <row r="34" spans="1:17" ht="18.75" customHeight="1" x14ac:dyDescent="0.3">
      <c r="A34" s="430"/>
      <c r="B34" s="84" t="s">
        <v>86</v>
      </c>
      <c r="C34" s="68">
        <f>C33</f>
        <v>12720</v>
      </c>
      <c r="D34" s="68">
        <f>C34+D33</f>
        <v>26781</v>
      </c>
      <c r="E34" s="68">
        <f t="shared" ref="E34:E35" si="111">D34+E33</f>
        <v>41529</v>
      </c>
      <c r="F34" s="68">
        <f t="shared" ref="F34" si="112">E34+F33</f>
        <v>59663</v>
      </c>
      <c r="G34" s="68">
        <f t="shared" ref="G34:G35" si="113">F34+G33</f>
        <v>75215</v>
      </c>
      <c r="H34" s="68">
        <f t="shared" ref="H34:H35" si="114">G34+H33</f>
        <v>84906</v>
      </c>
      <c r="I34" s="68">
        <f t="shared" ref="I34:I35" si="115">H34+I33</f>
        <v>98705</v>
      </c>
      <c r="J34" s="68">
        <f t="shared" ref="J34:J35" si="116">I34+J33</f>
        <v>119494</v>
      </c>
      <c r="K34" s="68">
        <f t="shared" ref="K34:K35" si="117">J34+K33</f>
        <v>130804</v>
      </c>
      <c r="L34" s="68">
        <f t="shared" ref="L34:L35" si="118">K34+L33</f>
        <v>148815</v>
      </c>
      <c r="M34" s="68">
        <f t="shared" ref="M34:M35" si="119">L34+M33</f>
        <v>163208</v>
      </c>
      <c r="N34" s="68">
        <f t="shared" ref="N34:N35" si="120">M34+N33</f>
        <v>183397</v>
      </c>
      <c r="O34" s="293">
        <f>SUM(C34:N34)</f>
        <v>1145237</v>
      </c>
      <c r="P34" s="71">
        <v>33</v>
      </c>
    </row>
    <row r="35" spans="1:17" ht="18.75" customHeight="1" x14ac:dyDescent="0.3">
      <c r="A35" s="431"/>
      <c r="B35" s="250" t="s">
        <v>87</v>
      </c>
      <c r="C35" s="251">
        <f>C34</f>
        <v>12720</v>
      </c>
      <c r="D35" s="251">
        <f>C35+D34</f>
        <v>39501</v>
      </c>
      <c r="E35" s="251">
        <f t="shared" si="111"/>
        <v>81030</v>
      </c>
      <c r="F35" s="251">
        <f>E35+F34</f>
        <v>140693</v>
      </c>
      <c r="G35" s="251">
        <f t="shared" si="113"/>
        <v>215908</v>
      </c>
      <c r="H35" s="251">
        <f t="shared" si="114"/>
        <v>300814</v>
      </c>
      <c r="I35" s="251">
        <f t="shared" si="115"/>
        <v>399519</v>
      </c>
      <c r="J35" s="251">
        <f t="shared" si="116"/>
        <v>519013</v>
      </c>
      <c r="K35" s="251">
        <f t="shared" si="117"/>
        <v>649817</v>
      </c>
      <c r="L35" s="251">
        <f t="shared" si="118"/>
        <v>798632</v>
      </c>
      <c r="M35" s="251">
        <f t="shared" si="119"/>
        <v>961840</v>
      </c>
      <c r="N35" s="251">
        <f t="shared" si="120"/>
        <v>1145237</v>
      </c>
      <c r="O35" s="252" t="b">
        <f>EXACT(O34,N35)</f>
        <v>1</v>
      </c>
      <c r="P35" s="71">
        <v>34</v>
      </c>
    </row>
    <row r="36" spans="1:17" ht="18.75" customHeight="1" x14ac:dyDescent="0.3">
      <c r="A36" s="429" t="s">
        <v>75</v>
      </c>
      <c r="B36" s="235"/>
      <c r="C36" s="67">
        <f>'4_5. 산업용 판매량(2025년)'!E46</f>
        <v>5000</v>
      </c>
      <c r="D36" s="67">
        <f>'4_5. 산업용 판매량(2025년)'!F46</f>
        <v>20000</v>
      </c>
      <c r="E36" s="67">
        <f>'4_5. 산업용 판매량(2025년)'!G46</f>
        <v>0</v>
      </c>
      <c r="F36" s="67">
        <f>'4_5. 산업용 판매량(2025년)'!H46</f>
        <v>5000</v>
      </c>
      <c r="G36" s="67">
        <f>'4_5. 산업용 판매량(2025년)'!I46</f>
        <v>5000</v>
      </c>
      <c r="H36" s="67">
        <f>'4_5. 산업용 판매량(2025년)'!J46</f>
        <v>5000</v>
      </c>
      <c r="I36" s="67">
        <f>'4_5. 산업용 판매량(2025년)'!K46</f>
        <v>0</v>
      </c>
      <c r="J36" s="67">
        <f>'4_5. 산업용 판매량(2025년)'!L46</f>
        <v>5000</v>
      </c>
      <c r="K36" s="67">
        <f>'4_5. 산업용 판매량(2025년)'!M46</f>
        <v>0</v>
      </c>
      <c r="L36" s="67">
        <f>'4_5. 산업용 판매량(2025년)'!N46</f>
        <v>5000</v>
      </c>
      <c r="M36" s="67">
        <f>'4_5. 산업용 판매량(2025년)'!O46</f>
        <v>45000</v>
      </c>
      <c r="N36" s="67">
        <f>'4_5. 산업용 판매량(2025년)'!P46</f>
        <v>10000</v>
      </c>
      <c r="O36" s="67">
        <f>SUM(C36:N36)</f>
        <v>105000</v>
      </c>
      <c r="P36" s="71">
        <v>35</v>
      </c>
    </row>
    <row r="37" spans="1:17" ht="18.75" customHeight="1" x14ac:dyDescent="0.3">
      <c r="A37" s="430"/>
      <c r="B37" s="84" t="s">
        <v>86</v>
      </c>
      <c r="C37" s="68">
        <f>C36</f>
        <v>5000</v>
      </c>
      <c r="D37" s="68">
        <f>C37+D36</f>
        <v>25000</v>
      </c>
      <c r="E37" s="68">
        <f t="shared" ref="E37:E38" si="121">D37+E36</f>
        <v>25000</v>
      </c>
      <c r="F37" s="68">
        <f t="shared" ref="F37" si="122">E37+F36</f>
        <v>30000</v>
      </c>
      <c r="G37" s="68">
        <f t="shared" ref="G37:G38" si="123">F37+G36</f>
        <v>35000</v>
      </c>
      <c r="H37" s="68">
        <f t="shared" ref="H37:H38" si="124">G37+H36</f>
        <v>40000</v>
      </c>
      <c r="I37" s="68">
        <f t="shared" ref="I37:I38" si="125">H37+I36</f>
        <v>40000</v>
      </c>
      <c r="J37" s="68">
        <f t="shared" ref="J37:J38" si="126">I37+J36</f>
        <v>45000</v>
      </c>
      <c r="K37" s="68">
        <f t="shared" ref="K37:K38" si="127">J37+K36</f>
        <v>45000</v>
      </c>
      <c r="L37" s="68">
        <f t="shared" ref="L37:L38" si="128">K37+L36</f>
        <v>50000</v>
      </c>
      <c r="M37" s="68">
        <f t="shared" ref="M37:M38" si="129">L37+M36</f>
        <v>95000</v>
      </c>
      <c r="N37" s="68">
        <f t="shared" ref="N37:N38" si="130">M37+N36</f>
        <v>105000</v>
      </c>
      <c r="O37" s="293">
        <f>SUM(C37:N37)</f>
        <v>540000</v>
      </c>
      <c r="P37" s="71">
        <v>36</v>
      </c>
    </row>
    <row r="38" spans="1:17" ht="18.75" customHeight="1" x14ac:dyDescent="0.3">
      <c r="A38" s="431"/>
      <c r="B38" s="250" t="s">
        <v>87</v>
      </c>
      <c r="C38" s="251">
        <f>C37</f>
        <v>5000</v>
      </c>
      <c r="D38" s="251">
        <f>C38+D37</f>
        <v>30000</v>
      </c>
      <c r="E38" s="251">
        <f t="shared" si="121"/>
        <v>55000</v>
      </c>
      <c r="F38" s="251">
        <f>E38+F37</f>
        <v>85000</v>
      </c>
      <c r="G38" s="251">
        <f t="shared" si="123"/>
        <v>120000</v>
      </c>
      <c r="H38" s="251">
        <f t="shared" si="124"/>
        <v>160000</v>
      </c>
      <c r="I38" s="251">
        <f t="shared" si="125"/>
        <v>200000</v>
      </c>
      <c r="J38" s="251">
        <f t="shared" si="126"/>
        <v>245000</v>
      </c>
      <c r="K38" s="251">
        <f t="shared" si="127"/>
        <v>290000</v>
      </c>
      <c r="L38" s="251">
        <f t="shared" si="128"/>
        <v>340000</v>
      </c>
      <c r="M38" s="251">
        <f t="shared" si="129"/>
        <v>435000</v>
      </c>
      <c r="N38" s="251">
        <f t="shared" si="130"/>
        <v>540000</v>
      </c>
      <c r="O38" s="252" t="b">
        <f>EXACT(O37,N38)</f>
        <v>1</v>
      </c>
      <c r="P38" s="71">
        <v>37</v>
      </c>
    </row>
    <row r="39" spans="1:17" ht="18.75" customHeight="1" x14ac:dyDescent="0.3">
      <c r="A39" s="429" t="s">
        <v>241</v>
      </c>
      <c r="B39" s="235"/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f>SUM(C39:N39)</f>
        <v>0</v>
      </c>
      <c r="P39" s="71">
        <v>38</v>
      </c>
    </row>
    <row r="40" spans="1:17" ht="18.75" customHeight="1" x14ac:dyDescent="0.3">
      <c r="A40" s="430"/>
      <c r="B40" s="84" t="s">
        <v>86</v>
      </c>
      <c r="C40" s="68">
        <f>C39</f>
        <v>0</v>
      </c>
      <c r="D40" s="68">
        <f>C40+D39</f>
        <v>0</v>
      </c>
      <c r="E40" s="68">
        <f t="shared" ref="E40:E41" si="131">D40+E39</f>
        <v>0</v>
      </c>
      <c r="F40" s="68">
        <f t="shared" ref="F40" si="132">E40+F39</f>
        <v>0</v>
      </c>
      <c r="G40" s="68">
        <f t="shared" ref="G40:G41" si="133">F40+G39</f>
        <v>0</v>
      </c>
      <c r="H40" s="68">
        <f t="shared" ref="H40:H41" si="134">G40+H39</f>
        <v>0</v>
      </c>
      <c r="I40" s="68">
        <f t="shared" ref="I40:I41" si="135">H40+I39</f>
        <v>0</v>
      </c>
      <c r="J40" s="68">
        <f t="shared" ref="J40:J41" si="136">I40+J39</f>
        <v>0</v>
      </c>
      <c r="K40" s="68">
        <f t="shared" ref="K40:K41" si="137">J40+K39</f>
        <v>0</v>
      </c>
      <c r="L40" s="68">
        <f t="shared" ref="L40:L41" si="138">K40+L39</f>
        <v>0</v>
      </c>
      <c r="M40" s="68">
        <f t="shared" ref="M40:M41" si="139">L40+M39</f>
        <v>0</v>
      </c>
      <c r="N40" s="68">
        <f t="shared" ref="N40:N41" si="140">M40+N39</f>
        <v>0</v>
      </c>
      <c r="O40" s="293">
        <f>SUM(C40:N40)</f>
        <v>0</v>
      </c>
      <c r="P40" s="71">
        <v>39</v>
      </c>
    </row>
    <row r="41" spans="1:17" ht="18.75" customHeight="1" x14ac:dyDescent="0.3">
      <c r="A41" s="431"/>
      <c r="B41" s="250" t="s">
        <v>87</v>
      </c>
      <c r="C41" s="251">
        <f>C40</f>
        <v>0</v>
      </c>
      <c r="D41" s="251">
        <f>C41+D40</f>
        <v>0</v>
      </c>
      <c r="E41" s="251">
        <f t="shared" si="131"/>
        <v>0</v>
      </c>
      <c r="F41" s="251">
        <f>E41+F40</f>
        <v>0</v>
      </c>
      <c r="G41" s="251">
        <f t="shared" si="133"/>
        <v>0</v>
      </c>
      <c r="H41" s="251">
        <f t="shared" si="134"/>
        <v>0</v>
      </c>
      <c r="I41" s="251">
        <f t="shared" si="135"/>
        <v>0</v>
      </c>
      <c r="J41" s="251">
        <f t="shared" si="136"/>
        <v>0</v>
      </c>
      <c r="K41" s="251">
        <f t="shared" si="137"/>
        <v>0</v>
      </c>
      <c r="L41" s="251">
        <f t="shared" si="138"/>
        <v>0</v>
      </c>
      <c r="M41" s="251">
        <f t="shared" si="139"/>
        <v>0</v>
      </c>
      <c r="N41" s="251">
        <f t="shared" si="140"/>
        <v>0</v>
      </c>
      <c r="O41" s="252" t="b">
        <f>EXACT(O40,N41)</f>
        <v>1</v>
      </c>
      <c r="P41" s="71">
        <v>40</v>
      </c>
    </row>
    <row r="42" spans="1:17" ht="18.75" customHeight="1" x14ac:dyDescent="0.3">
      <c r="A42" s="429" t="s">
        <v>242</v>
      </c>
      <c r="B42" s="235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>
        <f>SUM(C42:N42)</f>
        <v>0</v>
      </c>
      <c r="P42" s="71">
        <v>41</v>
      </c>
    </row>
    <row r="43" spans="1:17" ht="18.75" customHeight="1" x14ac:dyDescent="0.3">
      <c r="A43" s="430"/>
      <c r="B43" s="84" t="s">
        <v>86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293">
        <f>SUM(C43:N43)</f>
        <v>0</v>
      </c>
      <c r="P43" s="71">
        <v>42</v>
      </c>
    </row>
    <row r="44" spans="1:17" ht="18.75" customHeight="1" thickBot="1" x14ac:dyDescent="0.35">
      <c r="A44" s="430"/>
      <c r="B44" s="253" t="s">
        <v>87</v>
      </c>
      <c r="C44" s="254">
        <f t="shared" ref="C44:N44" si="141">ROUND(C95,0)</f>
        <v>0</v>
      </c>
      <c r="D44" s="254">
        <f t="shared" si="141"/>
        <v>0</v>
      </c>
      <c r="E44" s="254">
        <f t="shared" si="141"/>
        <v>0</v>
      </c>
      <c r="F44" s="254">
        <f t="shared" si="141"/>
        <v>0</v>
      </c>
      <c r="G44" s="254">
        <f t="shared" si="141"/>
        <v>0</v>
      </c>
      <c r="H44" s="254">
        <f t="shared" si="141"/>
        <v>0</v>
      </c>
      <c r="I44" s="254">
        <f t="shared" si="141"/>
        <v>0</v>
      </c>
      <c r="J44" s="254">
        <f t="shared" si="141"/>
        <v>0</v>
      </c>
      <c r="K44" s="254">
        <f t="shared" si="141"/>
        <v>0</v>
      </c>
      <c r="L44" s="254">
        <f t="shared" si="141"/>
        <v>0</v>
      </c>
      <c r="M44" s="254">
        <f t="shared" si="141"/>
        <v>0</v>
      </c>
      <c r="N44" s="254">
        <f t="shared" si="141"/>
        <v>0</v>
      </c>
      <c r="O44" s="255"/>
      <c r="P44" s="71">
        <v>43</v>
      </c>
    </row>
    <row r="45" spans="1:17" ht="18.75" customHeight="1" x14ac:dyDescent="0.3">
      <c r="A45" s="432" t="s">
        <v>243</v>
      </c>
      <c r="B45" s="256"/>
      <c r="C45" s="236">
        <f>C21+C24+C30+C33+C36+C39</f>
        <v>161863</v>
      </c>
      <c r="D45" s="236">
        <f t="shared" ref="D45:N45" si="142">D21+D24+D30+D33+D36+D39</f>
        <v>143553</v>
      </c>
      <c r="E45" s="236">
        <f t="shared" si="142"/>
        <v>97520</v>
      </c>
      <c r="F45" s="236">
        <f t="shared" si="142"/>
        <v>87200</v>
      </c>
      <c r="G45" s="236">
        <f t="shared" si="142"/>
        <v>96981</v>
      </c>
      <c r="H45" s="236">
        <f t="shared" si="142"/>
        <v>96045</v>
      </c>
      <c r="I45" s="236">
        <f t="shared" si="142"/>
        <v>88878</v>
      </c>
      <c r="J45" s="236">
        <f t="shared" si="142"/>
        <v>112146</v>
      </c>
      <c r="K45" s="236">
        <f t="shared" si="142"/>
        <v>107580</v>
      </c>
      <c r="L45" s="236">
        <f t="shared" si="142"/>
        <v>103355</v>
      </c>
      <c r="M45" s="236">
        <f t="shared" si="142"/>
        <v>141405</v>
      </c>
      <c r="N45" s="236">
        <f t="shared" si="142"/>
        <v>117679</v>
      </c>
      <c r="O45" s="237">
        <f>SUM(C45:N45)</f>
        <v>1354205</v>
      </c>
      <c r="P45" s="71">
        <v>44</v>
      </c>
    </row>
    <row r="46" spans="1:17" ht="18.75" customHeight="1" x14ac:dyDescent="0.3">
      <c r="A46" s="433"/>
      <c r="B46" s="84" t="s">
        <v>86</v>
      </c>
      <c r="C46" s="68">
        <f>C22+C25+C31+C34+C37+C40</f>
        <v>161863</v>
      </c>
      <c r="D46" s="68">
        <f t="shared" ref="D46:N46" si="143">D22+D25+D31+D34+D37+D40</f>
        <v>305416</v>
      </c>
      <c r="E46" s="68">
        <f t="shared" si="143"/>
        <v>402936</v>
      </c>
      <c r="F46" s="68">
        <f t="shared" si="143"/>
        <v>490136</v>
      </c>
      <c r="G46" s="68">
        <f t="shared" si="143"/>
        <v>587117</v>
      </c>
      <c r="H46" s="68">
        <f t="shared" si="143"/>
        <v>683162</v>
      </c>
      <c r="I46" s="68">
        <f t="shared" si="143"/>
        <v>772040</v>
      </c>
      <c r="J46" s="68">
        <f t="shared" si="143"/>
        <v>884186</v>
      </c>
      <c r="K46" s="68">
        <f t="shared" si="143"/>
        <v>991766</v>
      </c>
      <c r="L46" s="68">
        <f t="shared" si="143"/>
        <v>1095121</v>
      </c>
      <c r="M46" s="68">
        <f t="shared" si="143"/>
        <v>1236526</v>
      </c>
      <c r="N46" s="68">
        <f t="shared" si="143"/>
        <v>1354205</v>
      </c>
      <c r="O46" s="294">
        <f>SUM(C46:N46)</f>
        <v>8964474</v>
      </c>
      <c r="P46" s="71">
        <v>45</v>
      </c>
    </row>
    <row r="47" spans="1:17" ht="18.75" customHeight="1" thickBot="1" x14ac:dyDescent="0.35">
      <c r="A47" s="434"/>
      <c r="B47" s="257" t="s">
        <v>87</v>
      </c>
      <c r="C47" s="258">
        <f>C29+C32+C35+C38+C41</f>
        <v>161863</v>
      </c>
      <c r="D47" s="258">
        <f t="shared" ref="D47:N47" si="144">D29+D32+D35+D38+D41</f>
        <v>467279</v>
      </c>
      <c r="E47" s="258">
        <f t="shared" si="144"/>
        <v>870215</v>
      </c>
      <c r="F47" s="258">
        <f t="shared" si="144"/>
        <v>1360351</v>
      </c>
      <c r="G47" s="258">
        <f t="shared" si="144"/>
        <v>1947468</v>
      </c>
      <c r="H47" s="258">
        <f t="shared" si="144"/>
        <v>2630630</v>
      </c>
      <c r="I47" s="258">
        <f t="shared" si="144"/>
        <v>3402670</v>
      </c>
      <c r="J47" s="258">
        <f t="shared" si="144"/>
        <v>4286856</v>
      </c>
      <c r="K47" s="258">
        <f t="shared" si="144"/>
        <v>5278622</v>
      </c>
      <c r="L47" s="258">
        <f t="shared" si="144"/>
        <v>6373743</v>
      </c>
      <c r="M47" s="258">
        <f t="shared" si="144"/>
        <v>7610269</v>
      </c>
      <c r="N47" s="258">
        <f t="shared" si="144"/>
        <v>8964474</v>
      </c>
      <c r="O47" s="259" t="b">
        <f>EXACT(O46,N47)</f>
        <v>1</v>
      </c>
      <c r="P47" s="71">
        <v>46</v>
      </c>
      <c r="Q47" s="344" t="s">
        <v>314</v>
      </c>
    </row>
    <row r="48" spans="1:17" ht="18.75" customHeight="1" x14ac:dyDescent="0.3">
      <c r="A48" s="72"/>
      <c r="P48" s="71">
        <v>47</v>
      </c>
    </row>
    <row r="49" spans="1:17" ht="18.75" customHeight="1" x14ac:dyDescent="0.3">
      <c r="B49" s="271" t="s">
        <v>310</v>
      </c>
      <c r="P49" s="71">
        <v>48</v>
      </c>
    </row>
    <row r="50" spans="1:17" ht="18.75" customHeight="1" x14ac:dyDescent="0.3">
      <c r="B50" s="272" t="s">
        <v>224</v>
      </c>
      <c r="C50" s="304">
        <v>12720</v>
      </c>
      <c r="D50" s="304">
        <v>26781</v>
      </c>
      <c r="E50" s="304">
        <v>41529</v>
      </c>
      <c r="F50" s="304">
        <v>59663</v>
      </c>
      <c r="G50" s="304">
        <v>75215</v>
      </c>
      <c r="H50" s="304">
        <v>84906</v>
      </c>
      <c r="I50" s="304">
        <v>98705</v>
      </c>
      <c r="J50" s="304">
        <v>119494</v>
      </c>
      <c r="K50" s="304">
        <v>130804</v>
      </c>
      <c r="L50" s="304">
        <v>148815</v>
      </c>
      <c r="M50" s="304">
        <v>163208</v>
      </c>
      <c r="N50" s="304">
        <v>183397</v>
      </c>
      <c r="O50" s="304">
        <v>1145237</v>
      </c>
      <c r="P50" s="71">
        <v>49</v>
      </c>
      <c r="Q50" s="71" t="b">
        <f>O50=O34</f>
        <v>1</v>
      </c>
    </row>
    <row r="51" spans="1:17" ht="18.75" customHeight="1" x14ac:dyDescent="0.3">
      <c r="B51" s="272" t="s">
        <v>225</v>
      </c>
      <c r="C51" s="304">
        <v>5000</v>
      </c>
      <c r="D51" s="304">
        <v>25000</v>
      </c>
      <c r="E51" s="304">
        <v>25000</v>
      </c>
      <c r="F51" s="304">
        <v>30000</v>
      </c>
      <c r="G51" s="304">
        <v>35000</v>
      </c>
      <c r="H51" s="304">
        <v>40000</v>
      </c>
      <c r="I51" s="304">
        <v>40000</v>
      </c>
      <c r="J51" s="304">
        <v>45000</v>
      </c>
      <c r="K51" s="304">
        <v>45000</v>
      </c>
      <c r="L51" s="304">
        <v>50000</v>
      </c>
      <c r="M51" s="304">
        <v>95000</v>
      </c>
      <c r="N51" s="304">
        <v>105000</v>
      </c>
      <c r="O51" s="304">
        <v>540000</v>
      </c>
      <c r="P51" s="71">
        <v>50</v>
      </c>
      <c r="Q51" s="71" t="b">
        <f>O51=O37</f>
        <v>1</v>
      </c>
    </row>
    <row r="52" spans="1:17" ht="18.75" customHeight="1" x14ac:dyDescent="0.3">
      <c r="P52" s="71">
        <v>51</v>
      </c>
    </row>
    <row r="53" spans="1:17" ht="18.75" customHeight="1" x14ac:dyDescent="0.3">
      <c r="C53" s="71" t="b">
        <f t="shared" ref="C53:O53" si="145">C50=C34</f>
        <v>1</v>
      </c>
      <c r="D53" s="71" t="b">
        <f t="shared" si="145"/>
        <v>1</v>
      </c>
      <c r="E53" s="71" t="b">
        <f t="shared" si="145"/>
        <v>1</v>
      </c>
      <c r="F53" s="71" t="b">
        <f t="shared" si="145"/>
        <v>1</v>
      </c>
      <c r="G53" s="71" t="b">
        <f t="shared" si="145"/>
        <v>1</v>
      </c>
      <c r="H53" s="71" t="b">
        <f t="shared" si="145"/>
        <v>1</v>
      </c>
      <c r="I53" s="71" t="b">
        <f t="shared" si="145"/>
        <v>1</v>
      </c>
      <c r="J53" s="71" t="b">
        <f t="shared" si="145"/>
        <v>1</v>
      </c>
      <c r="K53" s="71" t="b">
        <f t="shared" si="145"/>
        <v>1</v>
      </c>
      <c r="L53" s="71" t="b">
        <f t="shared" si="145"/>
        <v>1</v>
      </c>
      <c r="M53" s="71" t="b">
        <f t="shared" si="145"/>
        <v>1</v>
      </c>
      <c r="N53" s="71" t="b">
        <f t="shared" si="145"/>
        <v>1</v>
      </c>
      <c r="O53" s="71" t="b">
        <f t="shared" si="145"/>
        <v>1</v>
      </c>
      <c r="P53" s="71">
        <v>52</v>
      </c>
    </row>
    <row r="54" spans="1:17" ht="18.75" customHeight="1" x14ac:dyDescent="0.3">
      <c r="C54" s="71" t="b">
        <f t="shared" ref="C54:O54" si="146">C51=C37</f>
        <v>1</v>
      </c>
      <c r="D54" s="71" t="b">
        <f t="shared" si="146"/>
        <v>1</v>
      </c>
      <c r="E54" s="71" t="b">
        <f t="shared" si="146"/>
        <v>1</v>
      </c>
      <c r="F54" s="71" t="b">
        <f t="shared" si="146"/>
        <v>1</v>
      </c>
      <c r="G54" s="71" t="b">
        <f t="shared" si="146"/>
        <v>1</v>
      </c>
      <c r="H54" s="71" t="b">
        <f t="shared" si="146"/>
        <v>1</v>
      </c>
      <c r="I54" s="71" t="b">
        <f t="shared" si="146"/>
        <v>1</v>
      </c>
      <c r="J54" s="71" t="b">
        <f t="shared" si="146"/>
        <v>1</v>
      </c>
      <c r="K54" s="71" t="b">
        <f t="shared" si="146"/>
        <v>1</v>
      </c>
      <c r="L54" s="71" t="b">
        <f t="shared" si="146"/>
        <v>1</v>
      </c>
      <c r="M54" s="71" t="b">
        <f t="shared" si="146"/>
        <v>1</v>
      </c>
      <c r="N54" s="71" t="b">
        <f t="shared" si="146"/>
        <v>1</v>
      </c>
      <c r="O54" s="71" t="b">
        <f t="shared" si="146"/>
        <v>1</v>
      </c>
      <c r="P54" s="71">
        <v>53</v>
      </c>
    </row>
    <row r="55" spans="1:17" ht="18.75" customHeight="1" x14ac:dyDescent="0.3">
      <c r="P55" s="71">
        <v>54</v>
      </c>
    </row>
    <row r="56" spans="1:17" s="41" customFormat="1" ht="28.5" customHeight="1" x14ac:dyDescent="0.3">
      <c r="A56" s="83" t="s">
        <v>252</v>
      </c>
      <c r="P56" s="71">
        <v>55</v>
      </c>
    </row>
    <row r="57" spans="1:17" ht="29.25" customHeight="1" x14ac:dyDescent="0.3">
      <c r="A57" s="427" t="s">
        <v>73</v>
      </c>
      <c r="B57" s="428"/>
      <c r="C57" s="85">
        <v>1</v>
      </c>
      <c r="D57" s="85">
        <v>2</v>
      </c>
      <c r="E57" s="85">
        <v>3</v>
      </c>
      <c r="F57" s="85">
        <v>4</v>
      </c>
      <c r="G57" s="85">
        <v>5</v>
      </c>
      <c r="H57" s="85">
        <v>6</v>
      </c>
      <c r="I57" s="85">
        <v>7</v>
      </c>
      <c r="J57" s="85">
        <v>8</v>
      </c>
      <c r="K57" s="85">
        <v>9</v>
      </c>
      <c r="L57" s="85">
        <v>10</v>
      </c>
      <c r="M57" s="85">
        <v>11</v>
      </c>
      <c r="N57" s="85">
        <v>12</v>
      </c>
      <c r="O57" s="85" t="s">
        <v>74</v>
      </c>
      <c r="P57" s="71">
        <v>56</v>
      </c>
    </row>
    <row r="58" spans="1:17" ht="18.75" customHeight="1" x14ac:dyDescent="0.3">
      <c r="A58" s="429" t="s">
        <v>238</v>
      </c>
      <c r="B58" s="235"/>
      <c r="C58" s="67">
        <f t="shared" ref="C58:N58" si="147">ROUND(C21*$O$1,0)</f>
        <v>5048860</v>
      </c>
      <c r="D58" s="67">
        <f t="shared" si="147"/>
        <v>3807702</v>
      </c>
      <c r="E58" s="67">
        <f t="shared" si="147"/>
        <v>2632852</v>
      </c>
      <c r="F58" s="67">
        <f t="shared" si="147"/>
        <v>1833561</v>
      </c>
      <c r="G58" s="67">
        <f t="shared" si="147"/>
        <v>2369783</v>
      </c>
      <c r="H58" s="67">
        <f t="shared" si="147"/>
        <v>2606753</v>
      </c>
      <c r="I58" s="67">
        <f t="shared" si="147"/>
        <v>2269368</v>
      </c>
      <c r="J58" s="67">
        <f t="shared" si="147"/>
        <v>2805590</v>
      </c>
      <c r="K58" s="67">
        <f t="shared" si="147"/>
        <v>3165049</v>
      </c>
      <c r="L58" s="67">
        <f t="shared" si="147"/>
        <v>2379824</v>
      </c>
      <c r="M58" s="67">
        <f t="shared" si="147"/>
        <v>2259327</v>
      </c>
      <c r="N58" s="67">
        <f t="shared" si="147"/>
        <v>2403932</v>
      </c>
      <c r="O58" s="67">
        <f>SUM(C58:N58)</f>
        <v>33582601</v>
      </c>
      <c r="P58" s="71">
        <v>57</v>
      </c>
    </row>
    <row r="59" spans="1:17" ht="18.75" customHeight="1" thickBot="1" x14ac:dyDescent="0.35">
      <c r="A59" s="430"/>
      <c r="B59" s="84" t="s">
        <v>86</v>
      </c>
      <c r="C59" s="68">
        <f>C58</f>
        <v>5048860</v>
      </c>
      <c r="D59" s="68">
        <f>C59+D58</f>
        <v>8856562</v>
      </c>
      <c r="E59" s="68">
        <f t="shared" ref="E59:E60" si="148">D59+E58</f>
        <v>11489414</v>
      </c>
      <c r="F59" s="68">
        <f t="shared" ref="F59" si="149">E59+F58</f>
        <v>13322975</v>
      </c>
      <c r="G59" s="68">
        <f t="shared" ref="G59:G60" si="150">F59+G58</f>
        <v>15692758</v>
      </c>
      <c r="H59" s="68">
        <f t="shared" ref="H59:H60" si="151">G59+H58</f>
        <v>18299511</v>
      </c>
      <c r="I59" s="68">
        <f t="shared" ref="I59:I60" si="152">H59+I58</f>
        <v>20568879</v>
      </c>
      <c r="J59" s="68">
        <f t="shared" ref="J59:J60" si="153">I59+J58</f>
        <v>23374469</v>
      </c>
      <c r="K59" s="68">
        <f t="shared" ref="K59:K60" si="154">J59+K58</f>
        <v>26539518</v>
      </c>
      <c r="L59" s="68">
        <f t="shared" ref="L59:L60" si="155">K59+L58</f>
        <v>28919342</v>
      </c>
      <c r="M59" s="68">
        <f t="shared" ref="M59:M60" si="156">L59+M58</f>
        <v>31178669</v>
      </c>
      <c r="N59" s="68">
        <f t="shared" ref="N59:N60" si="157">M59+N58</f>
        <v>33582601</v>
      </c>
      <c r="O59" s="69">
        <f>SUM(C59:N59)</f>
        <v>236873558</v>
      </c>
      <c r="P59" s="71">
        <v>58</v>
      </c>
    </row>
    <row r="60" spans="1:17" ht="18.75" customHeight="1" thickBot="1" x14ac:dyDescent="0.35">
      <c r="A60" s="431"/>
      <c r="B60" s="250" t="s">
        <v>87</v>
      </c>
      <c r="C60" s="251">
        <f>C59</f>
        <v>5048860</v>
      </c>
      <c r="D60" s="251">
        <f>C60+D59</f>
        <v>13905422</v>
      </c>
      <c r="E60" s="251">
        <f t="shared" si="148"/>
        <v>25394836</v>
      </c>
      <c r="F60" s="251">
        <f>E60+F59</f>
        <v>38717811</v>
      </c>
      <c r="G60" s="251">
        <f t="shared" si="150"/>
        <v>54410569</v>
      </c>
      <c r="H60" s="251">
        <f t="shared" si="151"/>
        <v>72710080</v>
      </c>
      <c r="I60" s="251">
        <f t="shared" si="152"/>
        <v>93278959</v>
      </c>
      <c r="J60" s="251">
        <f t="shared" si="153"/>
        <v>116653428</v>
      </c>
      <c r="K60" s="251">
        <f t="shared" si="154"/>
        <v>143192946</v>
      </c>
      <c r="L60" s="251">
        <f t="shared" si="155"/>
        <v>172112288</v>
      </c>
      <c r="M60" s="251">
        <f t="shared" si="156"/>
        <v>203290957</v>
      </c>
      <c r="N60" s="251">
        <f t="shared" si="157"/>
        <v>236873558</v>
      </c>
      <c r="O60" s="252" t="b">
        <f>EXACT(O59,N60)</f>
        <v>1</v>
      </c>
      <c r="P60" s="71">
        <v>59</v>
      </c>
      <c r="Q60" s="88">
        <f>ROUND(N60/1000,0)</f>
        <v>236874</v>
      </c>
    </row>
    <row r="61" spans="1:17" ht="18.75" customHeight="1" x14ac:dyDescent="0.3">
      <c r="A61" s="429" t="s">
        <v>253</v>
      </c>
      <c r="B61" s="235"/>
      <c r="C61" s="67">
        <f t="shared" ref="C61:N61" si="158">ROUND(C24*$O$1,0)</f>
        <v>497666</v>
      </c>
      <c r="D61" s="67">
        <f t="shared" si="158"/>
        <v>347129</v>
      </c>
      <c r="E61" s="67">
        <f t="shared" si="158"/>
        <v>270950</v>
      </c>
      <c r="F61" s="67">
        <f t="shared" si="158"/>
        <v>269213</v>
      </c>
      <c r="G61" s="67">
        <f t="shared" si="158"/>
        <v>256799</v>
      </c>
      <c r="H61" s="67">
        <f t="shared" si="158"/>
        <v>270950</v>
      </c>
      <c r="I61" s="67">
        <f t="shared" si="158"/>
        <v>317005</v>
      </c>
      <c r="J61" s="67">
        <f t="shared" si="158"/>
        <v>301074</v>
      </c>
      <c r="K61" s="67">
        <f t="shared" si="158"/>
        <v>327639</v>
      </c>
      <c r="L61" s="67">
        <f t="shared" si="158"/>
        <v>370136</v>
      </c>
      <c r="M61" s="67">
        <f t="shared" si="158"/>
        <v>433901</v>
      </c>
      <c r="N61" s="67">
        <f t="shared" si="158"/>
        <v>538383</v>
      </c>
      <c r="O61" s="67">
        <f>SUM(C61:N61)</f>
        <v>4200845</v>
      </c>
      <c r="P61" s="71">
        <v>60</v>
      </c>
    </row>
    <row r="62" spans="1:17" ht="18.75" customHeight="1" thickBot="1" x14ac:dyDescent="0.35">
      <c r="A62" s="430"/>
      <c r="B62" s="84" t="s">
        <v>86</v>
      </c>
      <c r="C62" s="68">
        <f>C61</f>
        <v>497666</v>
      </c>
      <c r="D62" s="68">
        <f>C62+D61</f>
        <v>844795</v>
      </c>
      <c r="E62" s="68">
        <f t="shared" ref="E62:E63" si="159">D62+E61</f>
        <v>1115745</v>
      </c>
      <c r="F62" s="68">
        <f t="shared" ref="F62" si="160">E62+F61</f>
        <v>1384958</v>
      </c>
      <c r="G62" s="68">
        <f t="shared" ref="G62:G63" si="161">F62+G61</f>
        <v>1641757</v>
      </c>
      <c r="H62" s="68">
        <f t="shared" ref="H62:H63" si="162">G62+H61</f>
        <v>1912707</v>
      </c>
      <c r="I62" s="68">
        <f t="shared" ref="I62:I63" si="163">H62+I61</f>
        <v>2229712</v>
      </c>
      <c r="J62" s="68">
        <f t="shared" ref="J62:J63" si="164">I62+J61</f>
        <v>2530786</v>
      </c>
      <c r="K62" s="68">
        <f t="shared" ref="K62:K63" si="165">J62+K61</f>
        <v>2858425</v>
      </c>
      <c r="L62" s="68">
        <f t="shared" ref="L62:L63" si="166">K62+L61</f>
        <v>3228561</v>
      </c>
      <c r="M62" s="68">
        <f t="shared" ref="M62:M63" si="167">L62+M61</f>
        <v>3662462</v>
      </c>
      <c r="N62" s="68">
        <f t="shared" ref="N62:N63" si="168">M62+N61</f>
        <v>4200845</v>
      </c>
      <c r="O62" s="69">
        <f>SUM(C62:N62)</f>
        <v>26108419</v>
      </c>
      <c r="P62" s="71">
        <v>61</v>
      </c>
    </row>
    <row r="63" spans="1:17" ht="18.75" customHeight="1" thickBot="1" x14ac:dyDescent="0.35">
      <c r="A63" s="430"/>
      <c r="B63" s="253" t="s">
        <v>87</v>
      </c>
      <c r="C63" s="254">
        <f>C62</f>
        <v>497666</v>
      </c>
      <c r="D63" s="254">
        <f>C63+D62</f>
        <v>1342461</v>
      </c>
      <c r="E63" s="254">
        <f t="shared" si="159"/>
        <v>2458206</v>
      </c>
      <c r="F63" s="254">
        <f>E63+F62</f>
        <v>3843164</v>
      </c>
      <c r="G63" s="254">
        <f t="shared" si="161"/>
        <v>5484921</v>
      </c>
      <c r="H63" s="254">
        <f t="shared" si="162"/>
        <v>7397628</v>
      </c>
      <c r="I63" s="254">
        <f t="shared" si="163"/>
        <v>9627340</v>
      </c>
      <c r="J63" s="254">
        <f t="shared" si="164"/>
        <v>12158126</v>
      </c>
      <c r="K63" s="254">
        <f t="shared" si="165"/>
        <v>15016551</v>
      </c>
      <c r="L63" s="254">
        <f t="shared" si="166"/>
        <v>18245112</v>
      </c>
      <c r="M63" s="254">
        <f t="shared" si="167"/>
        <v>21907574</v>
      </c>
      <c r="N63" s="254">
        <f t="shared" si="168"/>
        <v>26108419</v>
      </c>
      <c r="O63" s="255" t="b">
        <f>EXACT(O62,N63)</f>
        <v>1</v>
      </c>
      <c r="P63" s="71">
        <v>62</v>
      </c>
      <c r="Q63" s="88">
        <f>ROUND(N63/1000,0)</f>
        <v>26108</v>
      </c>
    </row>
    <row r="64" spans="1:17" ht="18.75" customHeight="1" x14ac:dyDescent="0.3">
      <c r="A64" s="432" t="s">
        <v>239</v>
      </c>
      <c r="B64" s="256"/>
      <c r="C64" s="236">
        <f t="shared" ref="C64:N64" si="169">C58+C61</f>
        <v>5546526</v>
      </c>
      <c r="D64" s="236">
        <f t="shared" si="169"/>
        <v>4154831</v>
      </c>
      <c r="E64" s="236">
        <f t="shared" si="169"/>
        <v>2903802</v>
      </c>
      <c r="F64" s="236">
        <f t="shared" si="169"/>
        <v>2102774</v>
      </c>
      <c r="G64" s="236">
        <f t="shared" si="169"/>
        <v>2626582</v>
      </c>
      <c r="H64" s="236">
        <f t="shared" si="169"/>
        <v>2877703</v>
      </c>
      <c r="I64" s="236">
        <f t="shared" si="169"/>
        <v>2586373</v>
      </c>
      <c r="J64" s="236">
        <f t="shared" si="169"/>
        <v>3106664</v>
      </c>
      <c r="K64" s="236">
        <f t="shared" si="169"/>
        <v>3492688</v>
      </c>
      <c r="L64" s="236">
        <f t="shared" si="169"/>
        <v>2749960</v>
      </c>
      <c r="M64" s="236">
        <f t="shared" si="169"/>
        <v>2693228</v>
      </c>
      <c r="N64" s="236">
        <f t="shared" si="169"/>
        <v>2942315</v>
      </c>
      <c r="O64" s="237">
        <f>SUM(C64:N64)</f>
        <v>37783446</v>
      </c>
      <c r="P64" s="71">
        <v>63</v>
      </c>
    </row>
    <row r="65" spans="1:17" ht="18.75" customHeight="1" thickBot="1" x14ac:dyDescent="0.35">
      <c r="A65" s="433"/>
      <c r="B65" s="84" t="s">
        <v>86</v>
      </c>
      <c r="C65" s="68">
        <f>C64</f>
        <v>5546526</v>
      </c>
      <c r="D65" s="68">
        <f>C65+D64</f>
        <v>9701357</v>
      </c>
      <c r="E65" s="68">
        <f t="shared" ref="E65:E66" si="170">D65+E64</f>
        <v>12605159</v>
      </c>
      <c r="F65" s="68">
        <f t="shared" ref="F65" si="171">E65+F64</f>
        <v>14707933</v>
      </c>
      <c r="G65" s="68">
        <f t="shared" ref="G65:G66" si="172">F65+G64</f>
        <v>17334515</v>
      </c>
      <c r="H65" s="68">
        <f t="shared" ref="H65:H66" si="173">G65+H64</f>
        <v>20212218</v>
      </c>
      <c r="I65" s="68">
        <f t="shared" ref="I65:I66" si="174">H65+I64</f>
        <v>22798591</v>
      </c>
      <c r="J65" s="68">
        <f t="shared" ref="J65:J66" si="175">I65+J64</f>
        <v>25905255</v>
      </c>
      <c r="K65" s="68">
        <f t="shared" ref="K65:K66" si="176">J65+K64</f>
        <v>29397943</v>
      </c>
      <c r="L65" s="68">
        <f t="shared" ref="L65:L66" si="177">K65+L64</f>
        <v>32147903</v>
      </c>
      <c r="M65" s="68">
        <f t="shared" ref="M65:M66" si="178">L65+M64</f>
        <v>34841131</v>
      </c>
      <c r="N65" s="68">
        <f t="shared" ref="N65:N66" si="179">M65+N64</f>
        <v>37783446</v>
      </c>
      <c r="O65" s="238">
        <f>SUM(C65:N65)</f>
        <v>262981977</v>
      </c>
      <c r="P65" s="71">
        <v>64</v>
      </c>
    </row>
    <row r="66" spans="1:17" ht="18.75" customHeight="1" thickBot="1" x14ac:dyDescent="0.35">
      <c r="A66" s="434"/>
      <c r="B66" s="257" t="s">
        <v>87</v>
      </c>
      <c r="C66" s="258">
        <f>C65</f>
        <v>5546526</v>
      </c>
      <c r="D66" s="258">
        <f>C66+D65</f>
        <v>15247883</v>
      </c>
      <c r="E66" s="258">
        <f t="shared" si="170"/>
        <v>27853042</v>
      </c>
      <c r="F66" s="258">
        <f>E66+F65</f>
        <v>42560975</v>
      </c>
      <c r="G66" s="258">
        <f t="shared" si="172"/>
        <v>59895490</v>
      </c>
      <c r="H66" s="258">
        <f t="shared" si="173"/>
        <v>80107708</v>
      </c>
      <c r="I66" s="258">
        <f t="shared" si="174"/>
        <v>102906299</v>
      </c>
      <c r="J66" s="258">
        <f t="shared" si="175"/>
        <v>128811554</v>
      </c>
      <c r="K66" s="258">
        <f t="shared" si="176"/>
        <v>158209497</v>
      </c>
      <c r="L66" s="258">
        <f t="shared" si="177"/>
        <v>190357400</v>
      </c>
      <c r="M66" s="258">
        <f t="shared" si="178"/>
        <v>225198531</v>
      </c>
      <c r="N66" s="258">
        <f t="shared" si="179"/>
        <v>262981977</v>
      </c>
      <c r="O66" s="259" t="b">
        <f>N66=(N60+N63)</f>
        <v>1</v>
      </c>
      <c r="P66" s="71">
        <v>65</v>
      </c>
      <c r="Q66" s="88">
        <f>Q60+Q63</f>
        <v>262982</v>
      </c>
    </row>
    <row r="67" spans="1:17" ht="18.75" customHeight="1" x14ac:dyDescent="0.3">
      <c r="A67" s="429" t="s">
        <v>88</v>
      </c>
      <c r="B67" s="235"/>
      <c r="C67" s="67">
        <f t="shared" ref="C67:N67" si="180">ROUND(C30*$O$1,0)</f>
        <v>560669</v>
      </c>
      <c r="D67" s="67">
        <f t="shared" si="180"/>
        <v>484235</v>
      </c>
      <c r="E67" s="67">
        <f t="shared" si="180"/>
        <v>603165</v>
      </c>
      <c r="F67" s="67">
        <f t="shared" si="180"/>
        <v>611639</v>
      </c>
      <c r="G67" s="67">
        <f t="shared" si="180"/>
        <v>611639</v>
      </c>
      <c r="H67" s="67">
        <f t="shared" si="180"/>
        <v>569185</v>
      </c>
      <c r="I67" s="67">
        <f t="shared" si="180"/>
        <v>594649</v>
      </c>
      <c r="J67" s="67">
        <f t="shared" si="180"/>
        <v>552195</v>
      </c>
      <c r="K67" s="67">
        <f t="shared" si="180"/>
        <v>586175</v>
      </c>
      <c r="L67" s="67">
        <f t="shared" si="180"/>
        <v>654135</v>
      </c>
      <c r="M67" s="67">
        <f t="shared" si="180"/>
        <v>781539</v>
      </c>
      <c r="N67" s="67">
        <f t="shared" si="180"/>
        <v>764549</v>
      </c>
      <c r="O67" s="67">
        <f>SUM(C67:N67)</f>
        <v>7373774</v>
      </c>
      <c r="P67" s="71">
        <v>66</v>
      </c>
    </row>
    <row r="68" spans="1:17" ht="18.75" customHeight="1" thickBot="1" x14ac:dyDescent="0.35">
      <c r="A68" s="430"/>
      <c r="B68" s="84" t="s">
        <v>86</v>
      </c>
      <c r="C68" s="68">
        <f>C67</f>
        <v>560669</v>
      </c>
      <c r="D68" s="68">
        <f>C68+D67</f>
        <v>1044904</v>
      </c>
      <c r="E68" s="68">
        <f t="shared" ref="E68:E69" si="181">D68+E67</f>
        <v>1648069</v>
      </c>
      <c r="F68" s="68">
        <f t="shared" ref="F68" si="182">E68+F67</f>
        <v>2259708</v>
      </c>
      <c r="G68" s="68">
        <f t="shared" ref="G68:G69" si="183">F68+G67</f>
        <v>2871347</v>
      </c>
      <c r="H68" s="68">
        <f t="shared" ref="H68:H69" si="184">G68+H67</f>
        <v>3440532</v>
      </c>
      <c r="I68" s="68">
        <f t="shared" ref="I68:I69" si="185">H68+I67</f>
        <v>4035181</v>
      </c>
      <c r="J68" s="68">
        <f t="shared" ref="J68:J69" si="186">I68+J67</f>
        <v>4587376</v>
      </c>
      <c r="K68" s="68">
        <f t="shared" ref="K68:K69" si="187">J68+K67</f>
        <v>5173551</v>
      </c>
      <c r="L68" s="68">
        <f t="shared" ref="L68:L69" si="188">K68+L67</f>
        <v>5827686</v>
      </c>
      <c r="M68" s="68">
        <f t="shared" ref="M68:M69" si="189">L68+M67</f>
        <v>6609225</v>
      </c>
      <c r="N68" s="68">
        <f t="shared" ref="N68:N69" si="190">M68+N67</f>
        <v>7373774</v>
      </c>
      <c r="O68" s="69">
        <f>SUM(C68:N68)</f>
        <v>45432022</v>
      </c>
      <c r="P68" s="71">
        <v>67</v>
      </c>
    </row>
    <row r="69" spans="1:17" ht="18.75" customHeight="1" thickBot="1" x14ac:dyDescent="0.35">
      <c r="A69" s="431"/>
      <c r="B69" s="250" t="s">
        <v>87</v>
      </c>
      <c r="C69" s="251">
        <f>C68</f>
        <v>560669</v>
      </c>
      <c r="D69" s="251">
        <f>C69+D68</f>
        <v>1605573</v>
      </c>
      <c r="E69" s="251">
        <f t="shared" si="181"/>
        <v>3253642</v>
      </c>
      <c r="F69" s="251">
        <f>E69+F68</f>
        <v>5513350</v>
      </c>
      <c r="G69" s="251">
        <f t="shared" si="183"/>
        <v>8384697</v>
      </c>
      <c r="H69" s="251">
        <f t="shared" si="184"/>
        <v>11825229</v>
      </c>
      <c r="I69" s="251">
        <f t="shared" si="185"/>
        <v>15860410</v>
      </c>
      <c r="J69" s="251">
        <f t="shared" si="186"/>
        <v>20447786</v>
      </c>
      <c r="K69" s="251">
        <f t="shared" si="187"/>
        <v>25621337</v>
      </c>
      <c r="L69" s="251">
        <f t="shared" si="188"/>
        <v>31449023</v>
      </c>
      <c r="M69" s="251">
        <f t="shared" si="189"/>
        <v>38058248</v>
      </c>
      <c r="N69" s="251">
        <f t="shared" si="190"/>
        <v>45432022</v>
      </c>
      <c r="O69" s="252" t="b">
        <f>EXACT(O68,N69)</f>
        <v>1</v>
      </c>
      <c r="P69" s="71">
        <v>68</v>
      </c>
      <c r="Q69" s="88">
        <f>ROUND(N69/1000,0)</f>
        <v>45432</v>
      </c>
    </row>
    <row r="70" spans="1:17" ht="18.75" customHeight="1" x14ac:dyDescent="0.3">
      <c r="A70" s="429" t="s">
        <v>240</v>
      </c>
      <c r="B70" s="235"/>
      <c r="C70" s="67">
        <f>'5. 업무용 판매량(2025년)'!D108</f>
        <v>538920</v>
      </c>
      <c r="D70" s="67">
        <f>'5. 업무용 판매량(2025년)'!E108</f>
        <v>595780</v>
      </c>
      <c r="E70" s="67">
        <f>'5. 업무용 판매량(2025년)'!F108</f>
        <v>624824</v>
      </c>
      <c r="F70" s="67">
        <f>'5. 업무용 판매량(2025년)'!G108</f>
        <v>768350</v>
      </c>
      <c r="G70" s="67">
        <f>'5. 업무용 판매량(2025년)'!H108</f>
        <v>658906</v>
      </c>
      <c r="H70" s="67">
        <f>'5. 업무용 판매량(2025년)'!I108</f>
        <v>410594</v>
      </c>
      <c r="I70" s="67">
        <f>'5. 업무용 판매량(2025년)'!J108</f>
        <v>584645</v>
      </c>
      <c r="J70" s="67">
        <f>'5. 업무용 판매량(2025년)'!K108</f>
        <v>880841</v>
      </c>
      <c r="K70" s="67">
        <f>'5. 업무용 판매량(2025년)'!L108</f>
        <v>479182</v>
      </c>
      <c r="L70" s="67">
        <f>'5. 업무용 판매량(2025년)'!M108</f>
        <v>763101</v>
      </c>
      <c r="M70" s="67">
        <f>'5. 업무용 판매량(2025년)'!N108</f>
        <v>609836</v>
      </c>
      <c r="N70" s="67">
        <f>'5. 업무용 판매량(2025년)'!O108</f>
        <v>855355</v>
      </c>
      <c r="O70" s="67">
        <f>SUM(C70:N70)</f>
        <v>7770334</v>
      </c>
      <c r="P70" s="71">
        <v>69</v>
      </c>
    </row>
    <row r="71" spans="1:17" ht="18.75" customHeight="1" thickBot="1" x14ac:dyDescent="0.35">
      <c r="A71" s="430"/>
      <c r="B71" s="84" t="s">
        <v>86</v>
      </c>
      <c r="C71" s="68">
        <f>C70</f>
        <v>538920</v>
      </c>
      <c r="D71" s="68">
        <f>C71+D70</f>
        <v>1134700</v>
      </c>
      <c r="E71" s="68">
        <f t="shared" ref="E71:E72" si="191">D71+E70</f>
        <v>1759524</v>
      </c>
      <c r="F71" s="68">
        <f t="shared" ref="F71" si="192">E71+F70</f>
        <v>2527874</v>
      </c>
      <c r="G71" s="68">
        <f t="shared" ref="G71:G72" si="193">F71+G70</f>
        <v>3186780</v>
      </c>
      <c r="H71" s="68">
        <f t="shared" ref="H71:H72" si="194">G71+H70</f>
        <v>3597374</v>
      </c>
      <c r="I71" s="68">
        <f t="shared" ref="I71:I72" si="195">H71+I70</f>
        <v>4182019</v>
      </c>
      <c r="J71" s="68">
        <f t="shared" ref="J71:J72" si="196">I71+J70</f>
        <v>5062860</v>
      </c>
      <c r="K71" s="68">
        <f t="shared" ref="K71:K72" si="197">J71+K70</f>
        <v>5542042</v>
      </c>
      <c r="L71" s="68">
        <f t="shared" ref="L71:L72" si="198">K71+L70</f>
        <v>6305143</v>
      </c>
      <c r="M71" s="68">
        <f t="shared" ref="M71:M72" si="199">L71+M70</f>
        <v>6914979</v>
      </c>
      <c r="N71" s="68">
        <f t="shared" ref="N71:N72" si="200">M71+N70</f>
        <v>7770334</v>
      </c>
      <c r="O71" s="69">
        <f>SUM(C71:N71)</f>
        <v>48522549</v>
      </c>
      <c r="P71" s="71">
        <v>70</v>
      </c>
    </row>
    <row r="72" spans="1:17" ht="18.75" customHeight="1" thickBot="1" x14ac:dyDescent="0.35">
      <c r="A72" s="431"/>
      <c r="B72" s="250" t="s">
        <v>87</v>
      </c>
      <c r="C72" s="251">
        <f>C71</f>
        <v>538920</v>
      </c>
      <c r="D72" s="251">
        <f>C72+D71</f>
        <v>1673620</v>
      </c>
      <c r="E72" s="251">
        <f t="shared" si="191"/>
        <v>3433144</v>
      </c>
      <c r="F72" s="251">
        <f>E72+F71</f>
        <v>5961018</v>
      </c>
      <c r="G72" s="251">
        <f t="shared" si="193"/>
        <v>9147798</v>
      </c>
      <c r="H72" s="251">
        <f t="shared" si="194"/>
        <v>12745172</v>
      </c>
      <c r="I72" s="251">
        <f t="shared" si="195"/>
        <v>16927191</v>
      </c>
      <c r="J72" s="251">
        <f t="shared" si="196"/>
        <v>21990051</v>
      </c>
      <c r="K72" s="251">
        <f t="shared" si="197"/>
        <v>27532093</v>
      </c>
      <c r="L72" s="251">
        <f t="shared" si="198"/>
        <v>33837236</v>
      </c>
      <c r="M72" s="251">
        <f t="shared" si="199"/>
        <v>40752215</v>
      </c>
      <c r="N72" s="251">
        <f t="shared" si="200"/>
        <v>48522549</v>
      </c>
      <c r="O72" s="252" t="b">
        <f>EXACT(O71,N72)</f>
        <v>1</v>
      </c>
      <c r="P72" s="71">
        <v>71</v>
      </c>
      <c r="Q72" s="88">
        <f>ROUND(N72/1000,0)</f>
        <v>48523</v>
      </c>
    </row>
    <row r="73" spans="1:17" ht="18.75" customHeight="1" x14ac:dyDescent="0.3">
      <c r="A73" s="429" t="s">
        <v>75</v>
      </c>
      <c r="B73" s="235"/>
      <c r="C73" s="67">
        <f>'4_5. 산업용 판매량(2025년)'!E38</f>
        <v>211710</v>
      </c>
      <c r="D73" s="67">
        <f>'4_5. 산업용 판매량(2025년)'!F38</f>
        <v>846840</v>
      </c>
      <c r="E73" s="67">
        <f>'4_5. 산업용 판매량(2025년)'!G38</f>
        <v>0</v>
      </c>
      <c r="F73" s="67">
        <f>'4_5. 산업용 판매량(2025년)'!H38</f>
        <v>211710</v>
      </c>
      <c r="G73" s="67">
        <f>'4_5. 산업용 판매량(2025년)'!I38</f>
        <v>211710</v>
      </c>
      <c r="H73" s="67">
        <f>'4_5. 산업용 판매량(2025년)'!J38</f>
        <v>211710</v>
      </c>
      <c r="I73" s="67">
        <f>'4_5. 산업용 판매량(2025년)'!K38</f>
        <v>0</v>
      </c>
      <c r="J73" s="67">
        <f>'4_5. 산업용 판매량(2025년)'!L38</f>
        <v>211710</v>
      </c>
      <c r="K73" s="67">
        <f>'4_5. 산업용 판매량(2025년)'!M38</f>
        <v>0</v>
      </c>
      <c r="L73" s="67">
        <f>'4_5. 산업용 판매량(2025년)'!N38</f>
        <v>211710</v>
      </c>
      <c r="M73" s="67">
        <f>'4_5. 산업용 판매량(2025년)'!O38</f>
        <v>1905390</v>
      </c>
      <c r="N73" s="67">
        <f>'4_5. 산업용 판매량(2025년)'!P38</f>
        <v>423420</v>
      </c>
      <c r="O73" s="67">
        <f>SUM(C73:N73)</f>
        <v>4445910</v>
      </c>
      <c r="P73" s="71">
        <v>72</v>
      </c>
    </row>
    <row r="74" spans="1:17" ht="18.75" customHeight="1" thickBot="1" x14ac:dyDescent="0.35">
      <c r="A74" s="430"/>
      <c r="B74" s="84" t="s">
        <v>86</v>
      </c>
      <c r="C74" s="68">
        <f>C73</f>
        <v>211710</v>
      </c>
      <c r="D74" s="68">
        <f>C74+D73</f>
        <v>1058550</v>
      </c>
      <c r="E74" s="68">
        <f t="shared" ref="E74:E75" si="201">D74+E73</f>
        <v>1058550</v>
      </c>
      <c r="F74" s="68">
        <f t="shared" ref="F74" si="202">E74+F73</f>
        <v>1270260</v>
      </c>
      <c r="G74" s="68">
        <f t="shared" ref="G74:G75" si="203">F74+G73</f>
        <v>1481970</v>
      </c>
      <c r="H74" s="68">
        <f t="shared" ref="H74:H75" si="204">G74+H73</f>
        <v>1693680</v>
      </c>
      <c r="I74" s="68">
        <f t="shared" ref="I74:I75" si="205">H74+I73</f>
        <v>1693680</v>
      </c>
      <c r="J74" s="68">
        <f t="shared" ref="J74:J75" si="206">I74+J73</f>
        <v>1905390</v>
      </c>
      <c r="K74" s="68">
        <f t="shared" ref="K74:K75" si="207">J74+K73</f>
        <v>1905390</v>
      </c>
      <c r="L74" s="68">
        <f t="shared" ref="L74:L75" si="208">K74+L73</f>
        <v>2117100</v>
      </c>
      <c r="M74" s="68">
        <f t="shared" ref="M74:M75" si="209">L74+M73</f>
        <v>4022490</v>
      </c>
      <c r="N74" s="68">
        <f t="shared" ref="N74:N75" si="210">M74+N73</f>
        <v>4445910</v>
      </c>
      <c r="O74" s="69">
        <f>SUM(C74:N74)</f>
        <v>22864680</v>
      </c>
      <c r="P74" s="71">
        <v>73</v>
      </c>
    </row>
    <row r="75" spans="1:17" ht="18.75" customHeight="1" thickBot="1" x14ac:dyDescent="0.35">
      <c r="A75" s="431"/>
      <c r="B75" s="250" t="s">
        <v>87</v>
      </c>
      <c r="C75" s="251">
        <f>C74</f>
        <v>211710</v>
      </c>
      <c r="D75" s="251">
        <f>C75+D74</f>
        <v>1270260</v>
      </c>
      <c r="E75" s="251">
        <f t="shared" si="201"/>
        <v>2328810</v>
      </c>
      <c r="F75" s="251">
        <f>E75+F74</f>
        <v>3599070</v>
      </c>
      <c r="G75" s="251">
        <f t="shared" si="203"/>
        <v>5081040</v>
      </c>
      <c r="H75" s="251">
        <f t="shared" si="204"/>
        <v>6774720</v>
      </c>
      <c r="I75" s="251">
        <f t="shared" si="205"/>
        <v>8468400</v>
      </c>
      <c r="J75" s="251">
        <f t="shared" si="206"/>
        <v>10373790</v>
      </c>
      <c r="K75" s="251">
        <f t="shared" si="207"/>
        <v>12279180</v>
      </c>
      <c r="L75" s="251">
        <f t="shared" si="208"/>
        <v>14396280</v>
      </c>
      <c r="M75" s="251">
        <f t="shared" si="209"/>
        <v>18418770</v>
      </c>
      <c r="N75" s="251">
        <f t="shared" si="210"/>
        <v>22864680</v>
      </c>
      <c r="O75" s="252" t="b">
        <f>EXACT(O74,N75)</f>
        <v>1</v>
      </c>
      <c r="P75" s="71">
        <v>74</v>
      </c>
      <c r="Q75" s="88">
        <f>ROUND(N75/1000,0)</f>
        <v>22865</v>
      </c>
    </row>
    <row r="76" spans="1:17" ht="18.75" customHeight="1" x14ac:dyDescent="0.3">
      <c r="A76" s="429" t="s">
        <v>241</v>
      </c>
      <c r="B76" s="235"/>
      <c r="C76" s="67">
        <v>0</v>
      </c>
      <c r="D76" s="67">
        <v>0</v>
      </c>
      <c r="E76" s="67">
        <v>0</v>
      </c>
      <c r="F76" s="67">
        <v>0</v>
      </c>
      <c r="G76" s="67">
        <v>0</v>
      </c>
      <c r="H76" s="67">
        <v>0</v>
      </c>
      <c r="I76" s="67">
        <v>0</v>
      </c>
      <c r="J76" s="67">
        <v>0</v>
      </c>
      <c r="K76" s="67">
        <v>0</v>
      </c>
      <c r="L76" s="67">
        <v>0</v>
      </c>
      <c r="M76" s="67">
        <v>0</v>
      </c>
      <c r="N76" s="67">
        <v>0</v>
      </c>
      <c r="O76" s="67">
        <f>SUM(C76:N76)</f>
        <v>0</v>
      </c>
      <c r="P76" s="71">
        <v>75</v>
      </c>
    </row>
    <row r="77" spans="1:17" ht="18.75" customHeight="1" thickBot="1" x14ac:dyDescent="0.35">
      <c r="A77" s="430"/>
      <c r="B77" s="84" t="s">
        <v>86</v>
      </c>
      <c r="C77" s="68">
        <f>C76</f>
        <v>0</v>
      </c>
      <c r="D77" s="68">
        <f>C77+D76</f>
        <v>0</v>
      </c>
      <c r="E77" s="68">
        <f t="shared" ref="E77:E78" si="211">D77+E76</f>
        <v>0</v>
      </c>
      <c r="F77" s="68">
        <f t="shared" ref="F77" si="212">E77+F76</f>
        <v>0</v>
      </c>
      <c r="G77" s="68">
        <f t="shared" ref="G77:G78" si="213">F77+G76</f>
        <v>0</v>
      </c>
      <c r="H77" s="68">
        <f t="shared" ref="H77:H78" si="214">G77+H76</f>
        <v>0</v>
      </c>
      <c r="I77" s="68">
        <f t="shared" ref="I77:I78" si="215">H77+I76</f>
        <v>0</v>
      </c>
      <c r="J77" s="68">
        <f t="shared" ref="J77:J78" si="216">I77+J76</f>
        <v>0</v>
      </c>
      <c r="K77" s="68">
        <f t="shared" ref="K77:K78" si="217">J77+K76</f>
        <v>0</v>
      </c>
      <c r="L77" s="68">
        <f t="shared" ref="L77:L78" si="218">K77+L76</f>
        <v>0</v>
      </c>
      <c r="M77" s="68">
        <f t="shared" ref="M77:M78" si="219">L77+M76</f>
        <v>0</v>
      </c>
      <c r="N77" s="68">
        <f t="shared" ref="N77:N78" si="220">M77+N76</f>
        <v>0</v>
      </c>
      <c r="O77" s="69">
        <f>SUM(C77:N77)</f>
        <v>0</v>
      </c>
      <c r="P77" s="71">
        <v>76</v>
      </c>
    </row>
    <row r="78" spans="1:17" ht="18.75" customHeight="1" thickBot="1" x14ac:dyDescent="0.35">
      <c r="A78" s="431"/>
      <c r="B78" s="250" t="s">
        <v>87</v>
      </c>
      <c r="C78" s="251">
        <f>C77</f>
        <v>0</v>
      </c>
      <c r="D78" s="251">
        <f>C78+D77</f>
        <v>0</v>
      </c>
      <c r="E78" s="251">
        <f t="shared" si="211"/>
        <v>0</v>
      </c>
      <c r="F78" s="251">
        <f>E78+F77</f>
        <v>0</v>
      </c>
      <c r="G78" s="251">
        <f t="shared" si="213"/>
        <v>0</v>
      </c>
      <c r="H78" s="251">
        <f t="shared" si="214"/>
        <v>0</v>
      </c>
      <c r="I78" s="251">
        <f t="shared" si="215"/>
        <v>0</v>
      </c>
      <c r="J78" s="251">
        <f t="shared" si="216"/>
        <v>0</v>
      </c>
      <c r="K78" s="251">
        <f t="shared" si="217"/>
        <v>0</v>
      </c>
      <c r="L78" s="251">
        <f t="shared" si="218"/>
        <v>0</v>
      </c>
      <c r="M78" s="251">
        <f t="shared" si="219"/>
        <v>0</v>
      </c>
      <c r="N78" s="251">
        <f t="shared" si="220"/>
        <v>0</v>
      </c>
      <c r="O78" s="252" t="b">
        <f>EXACT(O77,N78)</f>
        <v>1</v>
      </c>
      <c r="P78" s="71">
        <v>77</v>
      </c>
      <c r="Q78" s="88">
        <f>ROUND(N78/1000,0)</f>
        <v>0</v>
      </c>
    </row>
    <row r="79" spans="1:17" ht="18.75" customHeight="1" x14ac:dyDescent="0.3">
      <c r="A79" s="429" t="s">
        <v>242</v>
      </c>
      <c r="B79" s="235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>
        <f>SUM(C79:N79)</f>
        <v>0</v>
      </c>
      <c r="P79" s="71">
        <v>78</v>
      </c>
    </row>
    <row r="80" spans="1:17" ht="18.75" customHeight="1" thickBot="1" x14ac:dyDescent="0.35">
      <c r="A80" s="430"/>
      <c r="B80" s="84" t="s">
        <v>86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9">
        <f>SUM(C80:N80)</f>
        <v>0</v>
      </c>
      <c r="P80" s="71">
        <v>79</v>
      </c>
    </row>
    <row r="81" spans="1:18" ht="18.75" customHeight="1" thickBot="1" x14ac:dyDescent="0.35">
      <c r="A81" s="430"/>
      <c r="B81" s="253" t="s">
        <v>87</v>
      </c>
      <c r="C81" s="254">
        <f t="shared" ref="C81:N81" si="221">ROUND(C98,0)</f>
        <v>0</v>
      </c>
      <c r="D81" s="254">
        <f t="shared" si="221"/>
        <v>0</v>
      </c>
      <c r="E81" s="254">
        <f t="shared" si="221"/>
        <v>0</v>
      </c>
      <c r="F81" s="254">
        <f t="shared" si="221"/>
        <v>0</v>
      </c>
      <c r="G81" s="254">
        <f t="shared" si="221"/>
        <v>0</v>
      </c>
      <c r="H81" s="254">
        <f t="shared" si="221"/>
        <v>0</v>
      </c>
      <c r="I81" s="254">
        <f t="shared" si="221"/>
        <v>0</v>
      </c>
      <c r="J81" s="254">
        <f t="shared" si="221"/>
        <v>0</v>
      </c>
      <c r="K81" s="254">
        <f t="shared" si="221"/>
        <v>0</v>
      </c>
      <c r="L81" s="254">
        <f t="shared" si="221"/>
        <v>0</v>
      </c>
      <c r="M81" s="254">
        <f t="shared" si="221"/>
        <v>0</v>
      </c>
      <c r="N81" s="254">
        <f t="shared" si="221"/>
        <v>0</v>
      </c>
      <c r="O81" s="255" t="b">
        <f>EXACT(O80,N81)</f>
        <v>1</v>
      </c>
      <c r="P81" s="71">
        <v>80</v>
      </c>
      <c r="Q81" s="88">
        <f>ROUND(N81/1000,0)</f>
        <v>0</v>
      </c>
    </row>
    <row r="82" spans="1:18" ht="18.75" customHeight="1" x14ac:dyDescent="0.3">
      <c r="A82" s="432" t="s">
        <v>243</v>
      </c>
      <c r="B82" s="256"/>
      <c r="C82" s="236">
        <f>C58+C61+C67+C70+C73+C76</f>
        <v>6857825</v>
      </c>
      <c r="D82" s="236">
        <f t="shared" ref="D82:N82" si="222">D58+D61+D67+D70+D73+D76</f>
        <v>6081686</v>
      </c>
      <c r="E82" s="236">
        <f t="shared" si="222"/>
        <v>4131791</v>
      </c>
      <c r="F82" s="236">
        <f t="shared" si="222"/>
        <v>3694473</v>
      </c>
      <c r="G82" s="236">
        <f t="shared" si="222"/>
        <v>4108837</v>
      </c>
      <c r="H82" s="236">
        <f t="shared" si="222"/>
        <v>4069192</v>
      </c>
      <c r="I82" s="236">
        <f t="shared" si="222"/>
        <v>3765667</v>
      </c>
      <c r="J82" s="236">
        <f t="shared" si="222"/>
        <v>4751410</v>
      </c>
      <c r="K82" s="236">
        <f t="shared" si="222"/>
        <v>4558045</v>
      </c>
      <c r="L82" s="236">
        <f t="shared" si="222"/>
        <v>4378906</v>
      </c>
      <c r="M82" s="236">
        <f t="shared" si="222"/>
        <v>5989993</v>
      </c>
      <c r="N82" s="236">
        <f t="shared" si="222"/>
        <v>4985639</v>
      </c>
      <c r="O82" s="237">
        <f>SUM(C82:N82)</f>
        <v>57373464</v>
      </c>
      <c r="P82" s="71">
        <v>81</v>
      </c>
    </row>
    <row r="83" spans="1:18" ht="18.75" customHeight="1" thickBot="1" x14ac:dyDescent="0.35">
      <c r="A83" s="433"/>
      <c r="B83" s="84" t="s">
        <v>86</v>
      </c>
      <c r="C83" s="68">
        <f>C59+C62+C68+C71+C74+C77</f>
        <v>6857825</v>
      </c>
      <c r="D83" s="68">
        <f t="shared" ref="D83:N83" si="223">D59+D62+D68+D71+D74+D77</f>
        <v>12939511</v>
      </c>
      <c r="E83" s="68">
        <f t="shared" si="223"/>
        <v>17071302</v>
      </c>
      <c r="F83" s="68">
        <f t="shared" si="223"/>
        <v>20765775</v>
      </c>
      <c r="G83" s="68">
        <f t="shared" si="223"/>
        <v>24874612</v>
      </c>
      <c r="H83" s="68">
        <f t="shared" si="223"/>
        <v>28943804</v>
      </c>
      <c r="I83" s="68">
        <f t="shared" si="223"/>
        <v>32709471</v>
      </c>
      <c r="J83" s="68">
        <f t="shared" si="223"/>
        <v>37460881</v>
      </c>
      <c r="K83" s="68">
        <f t="shared" si="223"/>
        <v>42018926</v>
      </c>
      <c r="L83" s="68">
        <f t="shared" si="223"/>
        <v>46397832</v>
      </c>
      <c r="M83" s="68">
        <f t="shared" si="223"/>
        <v>52387825</v>
      </c>
      <c r="N83" s="68">
        <f t="shared" si="223"/>
        <v>57373464</v>
      </c>
      <c r="O83" s="238">
        <f>SUM(C83:N83)</f>
        <v>379801228</v>
      </c>
      <c r="P83" s="71">
        <v>82</v>
      </c>
      <c r="Q83" s="66" t="s">
        <v>315</v>
      </c>
      <c r="R83" s="66" t="s">
        <v>316</v>
      </c>
    </row>
    <row r="84" spans="1:18" ht="18.75" customHeight="1" thickBot="1" x14ac:dyDescent="0.35">
      <c r="A84" s="434"/>
      <c r="B84" s="257" t="s">
        <v>87</v>
      </c>
      <c r="C84" s="258">
        <f>C66+C69+C72+C75+C78</f>
        <v>6857825</v>
      </c>
      <c r="D84" s="258">
        <f t="shared" ref="D84:N84" si="224">D66+D69+D72+D75+D78</f>
        <v>19797336</v>
      </c>
      <c r="E84" s="258">
        <f t="shared" si="224"/>
        <v>36868638</v>
      </c>
      <c r="F84" s="258">
        <f t="shared" si="224"/>
        <v>57634413</v>
      </c>
      <c r="G84" s="258">
        <f t="shared" si="224"/>
        <v>82509025</v>
      </c>
      <c r="H84" s="258">
        <f t="shared" si="224"/>
        <v>111452829</v>
      </c>
      <c r="I84" s="258">
        <f t="shared" si="224"/>
        <v>144162300</v>
      </c>
      <c r="J84" s="258">
        <f t="shared" si="224"/>
        <v>181623181</v>
      </c>
      <c r="K84" s="258">
        <f t="shared" si="224"/>
        <v>223642107</v>
      </c>
      <c r="L84" s="258">
        <f t="shared" si="224"/>
        <v>270039939</v>
      </c>
      <c r="M84" s="258">
        <f t="shared" si="224"/>
        <v>322427764</v>
      </c>
      <c r="N84" s="258">
        <f t="shared" si="224"/>
        <v>379801228</v>
      </c>
      <c r="O84" s="259" t="b">
        <f>EXACT(O83,N84)</f>
        <v>1</v>
      </c>
      <c r="P84" s="71">
        <v>83</v>
      </c>
      <c r="Q84" s="88">
        <f>Q60+Q63+Q69+Q72+Q75+Q78</f>
        <v>379802</v>
      </c>
      <c r="R84" s="88">
        <f>Q60+Q63+Q69+Q72+Q75+Q78+Q81</f>
        <v>379802</v>
      </c>
    </row>
    <row r="85" spans="1:18" ht="18.75" customHeight="1" x14ac:dyDescent="0.3">
      <c r="A85" s="72"/>
      <c r="P85" s="71">
        <v>84</v>
      </c>
    </row>
    <row r="86" spans="1:18" ht="18.75" customHeight="1" x14ac:dyDescent="0.3">
      <c r="B86" s="271" t="s">
        <v>310</v>
      </c>
      <c r="P86" s="71">
        <v>85</v>
      </c>
    </row>
    <row r="87" spans="1:18" ht="18.75" customHeight="1" x14ac:dyDescent="0.3">
      <c r="B87" s="272" t="s">
        <v>224</v>
      </c>
      <c r="C87" s="304">
        <v>538920</v>
      </c>
      <c r="D87" s="304">
        <v>1134700</v>
      </c>
      <c r="E87" s="304">
        <v>1759524</v>
      </c>
      <c r="F87" s="304">
        <v>2527874</v>
      </c>
      <c r="G87" s="304">
        <v>3186780</v>
      </c>
      <c r="H87" s="304">
        <v>3597374</v>
      </c>
      <c r="I87" s="304">
        <v>4182019</v>
      </c>
      <c r="J87" s="304">
        <v>5062860</v>
      </c>
      <c r="K87" s="304">
        <v>5542042</v>
      </c>
      <c r="L87" s="304">
        <v>6305143</v>
      </c>
      <c r="M87" s="304">
        <v>6914979</v>
      </c>
      <c r="N87" s="304">
        <v>7770334</v>
      </c>
      <c r="O87" s="304">
        <v>48522549</v>
      </c>
      <c r="P87" s="71">
        <v>86</v>
      </c>
      <c r="Q87" s="71" t="b">
        <f>O87=O71</f>
        <v>1</v>
      </c>
    </row>
    <row r="88" spans="1:18" ht="18.75" customHeight="1" x14ac:dyDescent="0.3">
      <c r="B88" s="272" t="s">
        <v>225</v>
      </c>
      <c r="C88" s="304">
        <v>211710</v>
      </c>
      <c r="D88" s="304">
        <v>1058550</v>
      </c>
      <c r="E88" s="304">
        <v>1058550</v>
      </c>
      <c r="F88" s="304">
        <v>1270260</v>
      </c>
      <c r="G88" s="304">
        <v>1481970</v>
      </c>
      <c r="H88" s="304">
        <v>1693680</v>
      </c>
      <c r="I88" s="304">
        <v>1693680</v>
      </c>
      <c r="J88" s="304">
        <v>1905390</v>
      </c>
      <c r="K88" s="304">
        <v>1905390</v>
      </c>
      <c r="L88" s="304">
        <v>2117100</v>
      </c>
      <c r="M88" s="304">
        <v>4022490</v>
      </c>
      <c r="N88" s="304">
        <v>4445910</v>
      </c>
      <c r="O88" s="304">
        <v>22864680</v>
      </c>
      <c r="P88" s="71">
        <v>87</v>
      </c>
      <c r="Q88" s="71" t="b">
        <f>O88=O74</f>
        <v>1</v>
      </c>
    </row>
    <row r="89" spans="1:18" ht="18.75" customHeight="1" x14ac:dyDescent="0.3">
      <c r="P89" s="71">
        <v>88</v>
      </c>
    </row>
    <row r="90" spans="1:18" ht="18.75" customHeight="1" x14ac:dyDescent="0.3">
      <c r="C90" s="71" t="b">
        <f t="shared" ref="C90:O90" si="225">C87=C71</f>
        <v>1</v>
      </c>
      <c r="D90" s="71" t="b">
        <f t="shared" si="225"/>
        <v>1</v>
      </c>
      <c r="E90" s="71" t="b">
        <f t="shared" si="225"/>
        <v>1</v>
      </c>
      <c r="F90" s="71" t="b">
        <f t="shared" si="225"/>
        <v>1</v>
      </c>
      <c r="G90" s="71" t="b">
        <f t="shared" si="225"/>
        <v>1</v>
      </c>
      <c r="H90" s="71" t="b">
        <f t="shared" si="225"/>
        <v>1</v>
      </c>
      <c r="I90" s="71" t="b">
        <f t="shared" si="225"/>
        <v>1</v>
      </c>
      <c r="J90" s="71" t="b">
        <f t="shared" si="225"/>
        <v>1</v>
      </c>
      <c r="K90" s="71" t="b">
        <f t="shared" si="225"/>
        <v>1</v>
      </c>
      <c r="L90" s="71" t="b">
        <f t="shared" si="225"/>
        <v>1</v>
      </c>
      <c r="M90" s="71" t="b">
        <f t="shared" si="225"/>
        <v>1</v>
      </c>
      <c r="N90" s="71" t="b">
        <f t="shared" si="225"/>
        <v>1</v>
      </c>
      <c r="O90" s="71" t="b">
        <f t="shared" si="225"/>
        <v>1</v>
      </c>
      <c r="P90" s="71">
        <v>89</v>
      </c>
    </row>
    <row r="91" spans="1:18" ht="18.75" customHeight="1" x14ac:dyDescent="0.3">
      <c r="C91" s="71" t="b">
        <f t="shared" ref="C91:O91" si="226">C88=C74</f>
        <v>1</v>
      </c>
      <c r="D91" s="71" t="b">
        <f t="shared" si="226"/>
        <v>1</v>
      </c>
      <c r="E91" s="71" t="b">
        <f t="shared" si="226"/>
        <v>1</v>
      </c>
      <c r="F91" s="71" t="b">
        <f t="shared" si="226"/>
        <v>1</v>
      </c>
      <c r="G91" s="71" t="b">
        <f t="shared" si="226"/>
        <v>1</v>
      </c>
      <c r="H91" s="71" t="b">
        <f t="shared" si="226"/>
        <v>1</v>
      </c>
      <c r="I91" s="71" t="b">
        <f t="shared" si="226"/>
        <v>1</v>
      </c>
      <c r="J91" s="71" t="b">
        <f t="shared" si="226"/>
        <v>1</v>
      </c>
      <c r="K91" s="71" t="b">
        <f t="shared" si="226"/>
        <v>1</v>
      </c>
      <c r="L91" s="71" t="b">
        <f t="shared" si="226"/>
        <v>1</v>
      </c>
      <c r="M91" s="71" t="b">
        <f t="shared" si="226"/>
        <v>1</v>
      </c>
      <c r="N91" s="71" t="b">
        <f t="shared" si="226"/>
        <v>1</v>
      </c>
      <c r="O91" s="71" t="b">
        <f t="shared" si="226"/>
        <v>1</v>
      </c>
      <c r="P91" s="71">
        <v>90</v>
      </c>
    </row>
    <row r="92" spans="1:18" ht="18.75" customHeight="1" x14ac:dyDescent="0.3">
      <c r="P92" s="71">
        <v>91</v>
      </c>
    </row>
    <row r="93" spans="1:18" ht="18.75" customHeight="1" x14ac:dyDescent="0.3">
      <c r="B93" s="271" t="s">
        <v>250</v>
      </c>
      <c r="C93"/>
      <c r="D93"/>
      <c r="E93"/>
      <c r="F93" s="93"/>
      <c r="G93" s="93"/>
      <c r="H93" s="93"/>
      <c r="I93" s="95"/>
      <c r="J93" s="93"/>
      <c r="K93" s="93"/>
      <c r="L93" s="93"/>
      <c r="M93" s="93"/>
      <c r="N93" s="93"/>
      <c r="O93" s="93"/>
      <c r="P93" s="71">
        <v>92</v>
      </c>
    </row>
    <row r="94" spans="1:18" ht="18.75" customHeight="1" thickBot="1" x14ac:dyDescent="0.35">
      <c r="B94" s="273" t="s">
        <v>36</v>
      </c>
      <c r="C94" s="147" t="s">
        <v>118</v>
      </c>
      <c r="D94" s="147" t="s">
        <v>272</v>
      </c>
      <c r="E94" s="147" t="s">
        <v>262</v>
      </c>
      <c r="F94" s="147" t="s">
        <v>273</v>
      </c>
      <c r="G94" s="147" t="s">
        <v>274</v>
      </c>
      <c r="H94" s="147" t="s">
        <v>275</v>
      </c>
      <c r="I94" s="147" t="s">
        <v>276</v>
      </c>
      <c r="J94" s="147" t="s">
        <v>277</v>
      </c>
      <c r="K94" s="147" t="s">
        <v>278</v>
      </c>
      <c r="L94" s="147" t="s">
        <v>279</v>
      </c>
      <c r="M94" s="147" t="s">
        <v>280</v>
      </c>
      <c r="N94" s="147" t="s">
        <v>281</v>
      </c>
      <c r="O94" s="148" t="s">
        <v>129</v>
      </c>
      <c r="P94" s="71">
        <v>93</v>
      </c>
    </row>
    <row r="95" spans="1:18" ht="18.75" customHeight="1" thickBot="1" x14ac:dyDescent="0.35">
      <c r="B95" s="274" t="s">
        <v>251</v>
      </c>
      <c r="C95" s="268">
        <f>IFERROR(ROUND(C98/$O$1,0),0)</f>
        <v>0</v>
      </c>
      <c r="D95" s="268">
        <f>IFERROR(ROUND(D98/$O$1,0),0)</f>
        <v>0</v>
      </c>
      <c r="E95" s="268">
        <f t="shared" ref="E95:N95" si="227">IFERROR(ROUND(E98/$O$1,0),0)</f>
        <v>0</v>
      </c>
      <c r="F95" s="268">
        <f t="shared" si="227"/>
        <v>0</v>
      </c>
      <c r="G95" s="268">
        <f t="shared" si="227"/>
        <v>0</v>
      </c>
      <c r="H95" s="268">
        <f t="shared" si="227"/>
        <v>0</v>
      </c>
      <c r="I95" s="268">
        <f t="shared" si="227"/>
        <v>0</v>
      </c>
      <c r="J95" s="268">
        <f t="shared" si="227"/>
        <v>0</v>
      </c>
      <c r="K95" s="268">
        <f t="shared" si="227"/>
        <v>0</v>
      </c>
      <c r="L95" s="268">
        <f t="shared" si="227"/>
        <v>0</v>
      </c>
      <c r="M95" s="268">
        <f t="shared" si="227"/>
        <v>0</v>
      </c>
      <c r="N95" s="268">
        <f t="shared" si="227"/>
        <v>0</v>
      </c>
      <c r="O95" s="275">
        <f>SUM(C95:N95)</f>
        <v>0</v>
      </c>
      <c r="P95" s="71">
        <v>94</v>
      </c>
      <c r="Q95" s="88"/>
      <c r="R95" s="66" t="b">
        <f>O95=Q95</f>
        <v>1</v>
      </c>
    </row>
    <row r="96" spans="1:18" ht="18.75" customHeight="1" x14ac:dyDescent="0.3">
      <c r="B96" s="95"/>
      <c r="C96" s="282"/>
      <c r="D96" s="282"/>
      <c r="E96" s="282"/>
      <c r="F96" s="234"/>
      <c r="G96" s="234"/>
      <c r="H96" s="234"/>
      <c r="I96" s="234"/>
      <c r="J96" s="234"/>
      <c r="K96" s="234"/>
      <c r="L96" s="234"/>
      <c r="M96" s="234"/>
      <c r="N96" s="234"/>
      <c r="O96" s="132"/>
      <c r="P96" s="71">
        <v>95</v>
      </c>
    </row>
    <row r="97" spans="2:18" ht="18.75" customHeight="1" thickBot="1" x14ac:dyDescent="0.35">
      <c r="B97" s="283" t="s">
        <v>50</v>
      </c>
      <c r="C97" s="267" t="s">
        <v>118</v>
      </c>
      <c r="D97" s="267" t="s">
        <v>261</v>
      </c>
      <c r="E97" s="267" t="s">
        <v>262</v>
      </c>
      <c r="F97" s="267" t="s">
        <v>263</v>
      </c>
      <c r="G97" s="267" t="s">
        <v>264</v>
      </c>
      <c r="H97" s="267" t="s">
        <v>265</v>
      </c>
      <c r="I97" s="267" t="s">
        <v>266</v>
      </c>
      <c r="J97" s="267" t="s">
        <v>267</v>
      </c>
      <c r="K97" s="267" t="s">
        <v>268</v>
      </c>
      <c r="L97" s="267" t="s">
        <v>269</v>
      </c>
      <c r="M97" s="267" t="s">
        <v>270</v>
      </c>
      <c r="N97" s="267" t="s">
        <v>271</v>
      </c>
      <c r="O97" s="148" t="s">
        <v>129</v>
      </c>
      <c r="P97" s="71">
        <v>96</v>
      </c>
    </row>
    <row r="98" spans="2:18" ht="18.75" customHeight="1" thickBot="1" x14ac:dyDescent="0.35">
      <c r="B98" s="274" t="s">
        <v>311</v>
      </c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75">
        <f>SUM(C98:N98)</f>
        <v>0</v>
      </c>
      <c r="P98" s="71">
        <v>97</v>
      </c>
      <c r="Q98" s="88"/>
      <c r="R98" s="66" t="b">
        <f>O98=Q98</f>
        <v>1</v>
      </c>
    </row>
    <row r="99" spans="2:18" ht="18.75" customHeight="1" x14ac:dyDescent="0.3">
      <c r="B99" s="274" t="s">
        <v>312</v>
      </c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275">
        <f>SUM(C99:N99)</f>
        <v>0</v>
      </c>
    </row>
    <row r="100" spans="2:18" ht="18.75" customHeight="1" x14ac:dyDescent="0.3">
      <c r="B100" s="274" t="s">
        <v>313</v>
      </c>
      <c r="C100" s="342" t="str">
        <f t="shared" ref="C100:O100" si="228">IFERROR(C99/C98,"")</f>
        <v/>
      </c>
      <c r="D100" s="342" t="str">
        <f t="shared" si="228"/>
        <v/>
      </c>
      <c r="E100" s="342" t="str">
        <f t="shared" si="228"/>
        <v/>
      </c>
      <c r="F100" s="342" t="str">
        <f t="shared" si="228"/>
        <v/>
      </c>
      <c r="G100" s="342" t="str">
        <f t="shared" si="228"/>
        <v/>
      </c>
      <c r="H100" s="342" t="str">
        <f t="shared" si="228"/>
        <v/>
      </c>
      <c r="I100" s="342" t="str">
        <f t="shared" si="228"/>
        <v/>
      </c>
      <c r="J100" s="342" t="str">
        <f t="shared" si="228"/>
        <v/>
      </c>
      <c r="K100" s="342" t="str">
        <f t="shared" si="228"/>
        <v/>
      </c>
      <c r="L100" s="342" t="str">
        <f t="shared" si="228"/>
        <v/>
      </c>
      <c r="M100" s="342" t="str">
        <f t="shared" si="228"/>
        <v/>
      </c>
      <c r="N100" s="342" t="str">
        <f t="shared" si="228"/>
        <v/>
      </c>
      <c r="O100" s="343" t="str">
        <f t="shared" si="228"/>
        <v/>
      </c>
      <c r="Q100" s="348" t="e">
        <f>Q98/Q95</f>
        <v>#DIV/0!</v>
      </c>
    </row>
    <row r="101" spans="2:18" ht="18.75" customHeight="1" x14ac:dyDescent="0.3">
      <c r="B101" s="93"/>
      <c r="C101" s="93"/>
      <c r="D101" s="93"/>
      <c r="E101" s="93"/>
      <c r="F101" s="93"/>
      <c r="G101" s="93"/>
      <c r="H101" s="95"/>
      <c r="I101" s="93"/>
      <c r="J101" s="93"/>
      <c r="K101" s="93"/>
      <c r="L101" s="93"/>
      <c r="M101" s="93"/>
      <c r="N101" s="93"/>
      <c r="O101" s="95"/>
    </row>
  </sheetData>
  <mergeCells count="29">
    <mergeCell ref="A76:A78"/>
    <mergeCell ref="A79:A81"/>
    <mergeCell ref="A82:A84"/>
    <mergeCell ref="A57:B57"/>
    <mergeCell ref="A58:A60"/>
    <mergeCell ref="A61:A63"/>
    <mergeCell ref="A64:A66"/>
    <mergeCell ref="A67:A69"/>
    <mergeCell ref="A70:A72"/>
    <mergeCell ref="A36:A38"/>
    <mergeCell ref="A39:A41"/>
    <mergeCell ref="A42:A44"/>
    <mergeCell ref="A45:A47"/>
    <mergeCell ref="A73:A75"/>
    <mergeCell ref="A21:A23"/>
    <mergeCell ref="A24:A26"/>
    <mergeCell ref="A27:A29"/>
    <mergeCell ref="A33:A35"/>
    <mergeCell ref="A8:A9"/>
    <mergeCell ref="A10:A11"/>
    <mergeCell ref="A12:A13"/>
    <mergeCell ref="A14:A15"/>
    <mergeCell ref="A16:A17"/>
    <mergeCell ref="A30:A32"/>
    <mergeCell ref="A2:B2"/>
    <mergeCell ref="A7:B7"/>
    <mergeCell ref="A3:A4"/>
    <mergeCell ref="A5:A6"/>
    <mergeCell ref="A20:B20"/>
  </mergeCells>
  <phoneticPr fontId="1" type="noConversion"/>
  <conditionalFormatting sqref="A1:XFD1048576">
    <cfRule type="containsText" dxfId="23" priority="1" operator="containsText" text="false">
      <formula>NOT(ISERROR(SEARCH("false",A1)))</formula>
    </cfRule>
  </conditionalFormatting>
  <pageMargins left="0.75" right="0.75" top="0.59" bottom="0.33" header="0.5" footer="0.25"/>
  <pageSetup paperSize="12" scale="3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S115"/>
  <sheetViews>
    <sheetView showGridLines="0" topLeftCell="A12" zoomScale="85" zoomScaleNormal="85" zoomScaleSheetLayoutView="75" workbookViewId="0">
      <selection activeCell="H3" sqref="H3"/>
    </sheetView>
  </sheetViews>
  <sheetFormatPr defaultColWidth="16.625" defaultRowHeight="18.75" customHeight="1" x14ac:dyDescent="0.3"/>
  <cols>
    <col min="1" max="1" width="15.625" style="71" customWidth="1"/>
    <col min="2" max="15" width="17" style="71" customWidth="1"/>
    <col min="16" max="16" width="6.875" style="71" customWidth="1"/>
    <col min="17" max="18" width="14.375" style="66" customWidth="1"/>
    <col min="19" max="19" width="17.625" style="66" bestFit="1" customWidth="1"/>
    <col min="20" max="253" width="16.625" style="66"/>
    <col min="254" max="254" width="6" style="66" customWidth="1"/>
    <col min="255" max="255" width="14.625" style="66" customWidth="1"/>
    <col min="256" max="256" width="25.5" style="66" customWidth="1"/>
    <col min="257" max="268" width="17.25" style="66" bestFit="1" customWidth="1"/>
    <col min="269" max="269" width="10" style="66" customWidth="1"/>
    <col min="270" max="270" width="18.375" style="66" bestFit="1" customWidth="1"/>
    <col min="271" max="271" width="8.625" style="66" customWidth="1"/>
    <col min="272" max="272" width="17.625" style="66" bestFit="1" customWidth="1"/>
    <col min="273" max="273" width="16.625" style="66"/>
    <col min="274" max="274" width="17.625" style="66" bestFit="1" customWidth="1"/>
    <col min="275" max="509" width="16.625" style="66"/>
    <col min="510" max="510" width="6" style="66" customWidth="1"/>
    <col min="511" max="511" width="14.625" style="66" customWidth="1"/>
    <col min="512" max="512" width="25.5" style="66" customWidth="1"/>
    <col min="513" max="524" width="17.25" style="66" bestFit="1" customWidth="1"/>
    <col min="525" max="525" width="10" style="66" customWidth="1"/>
    <col min="526" max="526" width="18.375" style="66" bestFit="1" customWidth="1"/>
    <col min="527" max="527" width="8.625" style="66" customWidth="1"/>
    <col min="528" max="528" width="17.625" style="66" bestFit="1" customWidth="1"/>
    <col min="529" max="529" width="16.625" style="66"/>
    <col min="530" max="530" width="17.625" style="66" bestFit="1" customWidth="1"/>
    <col min="531" max="765" width="16.625" style="66"/>
    <col min="766" max="766" width="6" style="66" customWidth="1"/>
    <col min="767" max="767" width="14.625" style="66" customWidth="1"/>
    <col min="768" max="768" width="25.5" style="66" customWidth="1"/>
    <col min="769" max="780" width="17.25" style="66" bestFit="1" customWidth="1"/>
    <col min="781" max="781" width="10" style="66" customWidth="1"/>
    <col min="782" max="782" width="18.375" style="66" bestFit="1" customWidth="1"/>
    <col min="783" max="783" width="8.625" style="66" customWidth="1"/>
    <col min="784" max="784" width="17.625" style="66" bestFit="1" customWidth="1"/>
    <col min="785" max="785" width="16.625" style="66"/>
    <col min="786" max="786" width="17.625" style="66" bestFit="1" customWidth="1"/>
    <col min="787" max="1021" width="16.625" style="66"/>
    <col min="1022" max="1022" width="6" style="66" customWidth="1"/>
    <col min="1023" max="1023" width="14.625" style="66" customWidth="1"/>
    <col min="1024" max="1024" width="25.5" style="66" customWidth="1"/>
    <col min="1025" max="1036" width="17.25" style="66" bestFit="1" customWidth="1"/>
    <col min="1037" max="1037" width="10" style="66" customWidth="1"/>
    <col min="1038" max="1038" width="18.375" style="66" bestFit="1" customWidth="1"/>
    <col min="1039" max="1039" width="8.625" style="66" customWidth="1"/>
    <col min="1040" max="1040" width="17.625" style="66" bestFit="1" customWidth="1"/>
    <col min="1041" max="1041" width="16.625" style="66"/>
    <col min="1042" max="1042" width="17.625" style="66" bestFit="1" customWidth="1"/>
    <col min="1043" max="1277" width="16.625" style="66"/>
    <col min="1278" max="1278" width="6" style="66" customWidth="1"/>
    <col min="1279" max="1279" width="14.625" style="66" customWidth="1"/>
    <col min="1280" max="1280" width="25.5" style="66" customWidth="1"/>
    <col min="1281" max="1292" width="17.25" style="66" bestFit="1" customWidth="1"/>
    <col min="1293" max="1293" width="10" style="66" customWidth="1"/>
    <col min="1294" max="1294" width="18.375" style="66" bestFit="1" customWidth="1"/>
    <col min="1295" max="1295" width="8.625" style="66" customWidth="1"/>
    <col min="1296" max="1296" width="17.625" style="66" bestFit="1" customWidth="1"/>
    <col min="1297" max="1297" width="16.625" style="66"/>
    <col min="1298" max="1298" width="17.625" style="66" bestFit="1" customWidth="1"/>
    <col min="1299" max="1533" width="16.625" style="66"/>
    <col min="1534" max="1534" width="6" style="66" customWidth="1"/>
    <col min="1535" max="1535" width="14.625" style="66" customWidth="1"/>
    <col min="1536" max="1536" width="25.5" style="66" customWidth="1"/>
    <col min="1537" max="1548" width="17.25" style="66" bestFit="1" customWidth="1"/>
    <col min="1549" max="1549" width="10" style="66" customWidth="1"/>
    <col min="1550" max="1550" width="18.375" style="66" bestFit="1" customWidth="1"/>
    <col min="1551" max="1551" width="8.625" style="66" customWidth="1"/>
    <col min="1552" max="1552" width="17.625" style="66" bestFit="1" customWidth="1"/>
    <col min="1553" max="1553" width="16.625" style="66"/>
    <col min="1554" max="1554" width="17.625" style="66" bestFit="1" customWidth="1"/>
    <col min="1555" max="1789" width="16.625" style="66"/>
    <col min="1790" max="1790" width="6" style="66" customWidth="1"/>
    <col min="1791" max="1791" width="14.625" style="66" customWidth="1"/>
    <col min="1792" max="1792" width="25.5" style="66" customWidth="1"/>
    <col min="1793" max="1804" width="17.25" style="66" bestFit="1" customWidth="1"/>
    <col min="1805" max="1805" width="10" style="66" customWidth="1"/>
    <col min="1806" max="1806" width="18.375" style="66" bestFit="1" customWidth="1"/>
    <col min="1807" max="1807" width="8.625" style="66" customWidth="1"/>
    <col min="1808" max="1808" width="17.625" style="66" bestFit="1" customWidth="1"/>
    <col min="1809" max="1809" width="16.625" style="66"/>
    <col min="1810" max="1810" width="17.625" style="66" bestFit="1" customWidth="1"/>
    <col min="1811" max="2045" width="16.625" style="66"/>
    <col min="2046" max="2046" width="6" style="66" customWidth="1"/>
    <col min="2047" max="2047" width="14.625" style="66" customWidth="1"/>
    <col min="2048" max="2048" width="25.5" style="66" customWidth="1"/>
    <col min="2049" max="2060" width="17.25" style="66" bestFit="1" customWidth="1"/>
    <col min="2061" max="2061" width="10" style="66" customWidth="1"/>
    <col min="2062" max="2062" width="18.375" style="66" bestFit="1" customWidth="1"/>
    <col min="2063" max="2063" width="8.625" style="66" customWidth="1"/>
    <col min="2064" max="2064" width="17.625" style="66" bestFit="1" customWidth="1"/>
    <col min="2065" max="2065" width="16.625" style="66"/>
    <col min="2066" max="2066" width="17.625" style="66" bestFit="1" customWidth="1"/>
    <col min="2067" max="2301" width="16.625" style="66"/>
    <col min="2302" max="2302" width="6" style="66" customWidth="1"/>
    <col min="2303" max="2303" width="14.625" style="66" customWidth="1"/>
    <col min="2304" max="2304" width="25.5" style="66" customWidth="1"/>
    <col min="2305" max="2316" width="17.25" style="66" bestFit="1" customWidth="1"/>
    <col min="2317" max="2317" width="10" style="66" customWidth="1"/>
    <col min="2318" max="2318" width="18.375" style="66" bestFit="1" customWidth="1"/>
    <col min="2319" max="2319" width="8.625" style="66" customWidth="1"/>
    <col min="2320" max="2320" width="17.625" style="66" bestFit="1" customWidth="1"/>
    <col min="2321" max="2321" width="16.625" style="66"/>
    <col min="2322" max="2322" width="17.625" style="66" bestFit="1" customWidth="1"/>
    <col min="2323" max="2557" width="16.625" style="66"/>
    <col min="2558" max="2558" width="6" style="66" customWidth="1"/>
    <col min="2559" max="2559" width="14.625" style="66" customWidth="1"/>
    <col min="2560" max="2560" width="25.5" style="66" customWidth="1"/>
    <col min="2561" max="2572" width="17.25" style="66" bestFit="1" customWidth="1"/>
    <col min="2573" max="2573" width="10" style="66" customWidth="1"/>
    <col min="2574" max="2574" width="18.375" style="66" bestFit="1" customWidth="1"/>
    <col min="2575" max="2575" width="8.625" style="66" customWidth="1"/>
    <col min="2576" max="2576" width="17.625" style="66" bestFit="1" customWidth="1"/>
    <col min="2577" max="2577" width="16.625" style="66"/>
    <col min="2578" max="2578" width="17.625" style="66" bestFit="1" customWidth="1"/>
    <col min="2579" max="2813" width="16.625" style="66"/>
    <col min="2814" max="2814" width="6" style="66" customWidth="1"/>
    <col min="2815" max="2815" width="14.625" style="66" customWidth="1"/>
    <col min="2816" max="2816" width="25.5" style="66" customWidth="1"/>
    <col min="2817" max="2828" width="17.25" style="66" bestFit="1" customWidth="1"/>
    <col min="2829" max="2829" width="10" style="66" customWidth="1"/>
    <col min="2830" max="2830" width="18.375" style="66" bestFit="1" customWidth="1"/>
    <col min="2831" max="2831" width="8.625" style="66" customWidth="1"/>
    <col min="2832" max="2832" width="17.625" style="66" bestFit="1" customWidth="1"/>
    <col min="2833" max="2833" width="16.625" style="66"/>
    <col min="2834" max="2834" width="17.625" style="66" bestFit="1" customWidth="1"/>
    <col min="2835" max="3069" width="16.625" style="66"/>
    <col min="3070" max="3070" width="6" style="66" customWidth="1"/>
    <col min="3071" max="3071" width="14.625" style="66" customWidth="1"/>
    <col min="3072" max="3072" width="25.5" style="66" customWidth="1"/>
    <col min="3073" max="3084" width="17.25" style="66" bestFit="1" customWidth="1"/>
    <col min="3085" max="3085" width="10" style="66" customWidth="1"/>
    <col min="3086" max="3086" width="18.375" style="66" bestFit="1" customWidth="1"/>
    <col min="3087" max="3087" width="8.625" style="66" customWidth="1"/>
    <col min="3088" max="3088" width="17.625" style="66" bestFit="1" customWidth="1"/>
    <col min="3089" max="3089" width="16.625" style="66"/>
    <col min="3090" max="3090" width="17.625" style="66" bestFit="1" customWidth="1"/>
    <col min="3091" max="3325" width="16.625" style="66"/>
    <col min="3326" max="3326" width="6" style="66" customWidth="1"/>
    <col min="3327" max="3327" width="14.625" style="66" customWidth="1"/>
    <col min="3328" max="3328" width="25.5" style="66" customWidth="1"/>
    <col min="3329" max="3340" width="17.25" style="66" bestFit="1" customWidth="1"/>
    <col min="3341" max="3341" width="10" style="66" customWidth="1"/>
    <col min="3342" max="3342" width="18.375" style="66" bestFit="1" customWidth="1"/>
    <col min="3343" max="3343" width="8.625" style="66" customWidth="1"/>
    <col min="3344" max="3344" width="17.625" style="66" bestFit="1" customWidth="1"/>
    <col min="3345" max="3345" width="16.625" style="66"/>
    <col min="3346" max="3346" width="17.625" style="66" bestFit="1" customWidth="1"/>
    <col min="3347" max="3581" width="16.625" style="66"/>
    <col min="3582" max="3582" width="6" style="66" customWidth="1"/>
    <col min="3583" max="3583" width="14.625" style="66" customWidth="1"/>
    <col min="3584" max="3584" width="25.5" style="66" customWidth="1"/>
    <col min="3585" max="3596" width="17.25" style="66" bestFit="1" customWidth="1"/>
    <col min="3597" max="3597" width="10" style="66" customWidth="1"/>
    <col min="3598" max="3598" width="18.375" style="66" bestFit="1" customWidth="1"/>
    <col min="3599" max="3599" width="8.625" style="66" customWidth="1"/>
    <col min="3600" max="3600" width="17.625" style="66" bestFit="1" customWidth="1"/>
    <col min="3601" max="3601" width="16.625" style="66"/>
    <col min="3602" max="3602" width="17.625" style="66" bestFit="1" customWidth="1"/>
    <col min="3603" max="3837" width="16.625" style="66"/>
    <col min="3838" max="3838" width="6" style="66" customWidth="1"/>
    <col min="3839" max="3839" width="14.625" style="66" customWidth="1"/>
    <col min="3840" max="3840" width="25.5" style="66" customWidth="1"/>
    <col min="3841" max="3852" width="17.25" style="66" bestFit="1" customWidth="1"/>
    <col min="3853" max="3853" width="10" style="66" customWidth="1"/>
    <col min="3854" max="3854" width="18.375" style="66" bestFit="1" customWidth="1"/>
    <col min="3855" max="3855" width="8.625" style="66" customWidth="1"/>
    <col min="3856" max="3856" width="17.625" style="66" bestFit="1" customWidth="1"/>
    <col min="3857" max="3857" width="16.625" style="66"/>
    <col min="3858" max="3858" width="17.625" style="66" bestFit="1" customWidth="1"/>
    <col min="3859" max="4093" width="16.625" style="66"/>
    <col min="4094" max="4094" width="6" style="66" customWidth="1"/>
    <col min="4095" max="4095" width="14.625" style="66" customWidth="1"/>
    <col min="4096" max="4096" width="25.5" style="66" customWidth="1"/>
    <col min="4097" max="4108" width="17.25" style="66" bestFit="1" customWidth="1"/>
    <col min="4109" max="4109" width="10" style="66" customWidth="1"/>
    <col min="4110" max="4110" width="18.375" style="66" bestFit="1" customWidth="1"/>
    <col min="4111" max="4111" width="8.625" style="66" customWidth="1"/>
    <col min="4112" max="4112" width="17.625" style="66" bestFit="1" customWidth="1"/>
    <col min="4113" max="4113" width="16.625" style="66"/>
    <col min="4114" max="4114" width="17.625" style="66" bestFit="1" customWidth="1"/>
    <col min="4115" max="4349" width="16.625" style="66"/>
    <col min="4350" max="4350" width="6" style="66" customWidth="1"/>
    <col min="4351" max="4351" width="14.625" style="66" customWidth="1"/>
    <col min="4352" max="4352" width="25.5" style="66" customWidth="1"/>
    <col min="4353" max="4364" width="17.25" style="66" bestFit="1" customWidth="1"/>
    <col min="4365" max="4365" width="10" style="66" customWidth="1"/>
    <col min="4366" max="4366" width="18.375" style="66" bestFit="1" customWidth="1"/>
    <col min="4367" max="4367" width="8.625" style="66" customWidth="1"/>
    <col min="4368" max="4368" width="17.625" style="66" bestFit="1" customWidth="1"/>
    <col min="4369" max="4369" width="16.625" style="66"/>
    <col min="4370" max="4370" width="17.625" style="66" bestFit="1" customWidth="1"/>
    <col min="4371" max="4605" width="16.625" style="66"/>
    <col min="4606" max="4606" width="6" style="66" customWidth="1"/>
    <col min="4607" max="4607" width="14.625" style="66" customWidth="1"/>
    <col min="4608" max="4608" width="25.5" style="66" customWidth="1"/>
    <col min="4609" max="4620" width="17.25" style="66" bestFit="1" customWidth="1"/>
    <col min="4621" max="4621" width="10" style="66" customWidth="1"/>
    <col min="4622" max="4622" width="18.375" style="66" bestFit="1" customWidth="1"/>
    <col min="4623" max="4623" width="8.625" style="66" customWidth="1"/>
    <col min="4624" max="4624" width="17.625" style="66" bestFit="1" customWidth="1"/>
    <col min="4625" max="4625" width="16.625" style="66"/>
    <col min="4626" max="4626" width="17.625" style="66" bestFit="1" customWidth="1"/>
    <col min="4627" max="4861" width="16.625" style="66"/>
    <col min="4862" max="4862" width="6" style="66" customWidth="1"/>
    <col min="4863" max="4863" width="14.625" style="66" customWidth="1"/>
    <col min="4864" max="4864" width="25.5" style="66" customWidth="1"/>
    <col min="4865" max="4876" width="17.25" style="66" bestFit="1" customWidth="1"/>
    <col min="4877" max="4877" width="10" style="66" customWidth="1"/>
    <col min="4878" max="4878" width="18.375" style="66" bestFit="1" customWidth="1"/>
    <col min="4879" max="4879" width="8.625" style="66" customWidth="1"/>
    <col min="4880" max="4880" width="17.625" style="66" bestFit="1" customWidth="1"/>
    <col min="4881" max="4881" width="16.625" style="66"/>
    <col min="4882" max="4882" width="17.625" style="66" bestFit="1" customWidth="1"/>
    <col min="4883" max="5117" width="16.625" style="66"/>
    <col min="5118" max="5118" width="6" style="66" customWidth="1"/>
    <col min="5119" max="5119" width="14.625" style="66" customWidth="1"/>
    <col min="5120" max="5120" width="25.5" style="66" customWidth="1"/>
    <col min="5121" max="5132" width="17.25" style="66" bestFit="1" customWidth="1"/>
    <col min="5133" max="5133" width="10" style="66" customWidth="1"/>
    <col min="5134" max="5134" width="18.375" style="66" bestFit="1" customWidth="1"/>
    <col min="5135" max="5135" width="8.625" style="66" customWidth="1"/>
    <col min="5136" max="5136" width="17.625" style="66" bestFit="1" customWidth="1"/>
    <col min="5137" max="5137" width="16.625" style="66"/>
    <col min="5138" max="5138" width="17.625" style="66" bestFit="1" customWidth="1"/>
    <col min="5139" max="5373" width="16.625" style="66"/>
    <col min="5374" max="5374" width="6" style="66" customWidth="1"/>
    <col min="5375" max="5375" width="14.625" style="66" customWidth="1"/>
    <col min="5376" max="5376" width="25.5" style="66" customWidth="1"/>
    <col min="5377" max="5388" width="17.25" style="66" bestFit="1" customWidth="1"/>
    <col min="5389" max="5389" width="10" style="66" customWidth="1"/>
    <col min="5390" max="5390" width="18.375" style="66" bestFit="1" customWidth="1"/>
    <col min="5391" max="5391" width="8.625" style="66" customWidth="1"/>
    <col min="5392" max="5392" width="17.625" style="66" bestFit="1" customWidth="1"/>
    <col min="5393" max="5393" width="16.625" style="66"/>
    <col min="5394" max="5394" width="17.625" style="66" bestFit="1" customWidth="1"/>
    <col min="5395" max="5629" width="16.625" style="66"/>
    <col min="5630" max="5630" width="6" style="66" customWidth="1"/>
    <col min="5631" max="5631" width="14.625" style="66" customWidth="1"/>
    <col min="5632" max="5632" width="25.5" style="66" customWidth="1"/>
    <col min="5633" max="5644" width="17.25" style="66" bestFit="1" customWidth="1"/>
    <col min="5645" max="5645" width="10" style="66" customWidth="1"/>
    <col min="5646" max="5646" width="18.375" style="66" bestFit="1" customWidth="1"/>
    <col min="5647" max="5647" width="8.625" style="66" customWidth="1"/>
    <col min="5648" max="5648" width="17.625" style="66" bestFit="1" customWidth="1"/>
    <col min="5649" max="5649" width="16.625" style="66"/>
    <col min="5650" max="5650" width="17.625" style="66" bestFit="1" customWidth="1"/>
    <col min="5651" max="5885" width="16.625" style="66"/>
    <col min="5886" max="5886" width="6" style="66" customWidth="1"/>
    <col min="5887" max="5887" width="14.625" style="66" customWidth="1"/>
    <col min="5888" max="5888" width="25.5" style="66" customWidth="1"/>
    <col min="5889" max="5900" width="17.25" style="66" bestFit="1" customWidth="1"/>
    <col min="5901" max="5901" width="10" style="66" customWidth="1"/>
    <col min="5902" max="5902" width="18.375" style="66" bestFit="1" customWidth="1"/>
    <col min="5903" max="5903" width="8.625" style="66" customWidth="1"/>
    <col min="5904" max="5904" width="17.625" style="66" bestFit="1" customWidth="1"/>
    <col min="5905" max="5905" width="16.625" style="66"/>
    <col min="5906" max="5906" width="17.625" style="66" bestFit="1" customWidth="1"/>
    <col min="5907" max="6141" width="16.625" style="66"/>
    <col min="6142" max="6142" width="6" style="66" customWidth="1"/>
    <col min="6143" max="6143" width="14.625" style="66" customWidth="1"/>
    <col min="6144" max="6144" width="25.5" style="66" customWidth="1"/>
    <col min="6145" max="6156" width="17.25" style="66" bestFit="1" customWidth="1"/>
    <col min="6157" max="6157" width="10" style="66" customWidth="1"/>
    <col min="6158" max="6158" width="18.375" style="66" bestFit="1" customWidth="1"/>
    <col min="6159" max="6159" width="8.625" style="66" customWidth="1"/>
    <col min="6160" max="6160" width="17.625" style="66" bestFit="1" customWidth="1"/>
    <col min="6161" max="6161" width="16.625" style="66"/>
    <col min="6162" max="6162" width="17.625" style="66" bestFit="1" customWidth="1"/>
    <col min="6163" max="6397" width="16.625" style="66"/>
    <col min="6398" max="6398" width="6" style="66" customWidth="1"/>
    <col min="6399" max="6399" width="14.625" style="66" customWidth="1"/>
    <col min="6400" max="6400" width="25.5" style="66" customWidth="1"/>
    <col min="6401" max="6412" width="17.25" style="66" bestFit="1" customWidth="1"/>
    <col min="6413" max="6413" width="10" style="66" customWidth="1"/>
    <col min="6414" max="6414" width="18.375" style="66" bestFit="1" customWidth="1"/>
    <col min="6415" max="6415" width="8.625" style="66" customWidth="1"/>
    <col min="6416" max="6416" width="17.625" style="66" bestFit="1" customWidth="1"/>
    <col min="6417" max="6417" width="16.625" style="66"/>
    <col min="6418" max="6418" width="17.625" style="66" bestFit="1" customWidth="1"/>
    <col min="6419" max="6653" width="16.625" style="66"/>
    <col min="6654" max="6654" width="6" style="66" customWidth="1"/>
    <col min="6655" max="6655" width="14.625" style="66" customWidth="1"/>
    <col min="6656" max="6656" width="25.5" style="66" customWidth="1"/>
    <col min="6657" max="6668" width="17.25" style="66" bestFit="1" customWidth="1"/>
    <col min="6669" max="6669" width="10" style="66" customWidth="1"/>
    <col min="6670" max="6670" width="18.375" style="66" bestFit="1" customWidth="1"/>
    <col min="6671" max="6671" width="8.625" style="66" customWidth="1"/>
    <col min="6672" max="6672" width="17.625" style="66" bestFit="1" customWidth="1"/>
    <col min="6673" max="6673" width="16.625" style="66"/>
    <col min="6674" max="6674" width="17.625" style="66" bestFit="1" customWidth="1"/>
    <col min="6675" max="6909" width="16.625" style="66"/>
    <col min="6910" max="6910" width="6" style="66" customWidth="1"/>
    <col min="6911" max="6911" width="14.625" style="66" customWidth="1"/>
    <col min="6912" max="6912" width="25.5" style="66" customWidth="1"/>
    <col min="6913" max="6924" width="17.25" style="66" bestFit="1" customWidth="1"/>
    <col min="6925" max="6925" width="10" style="66" customWidth="1"/>
    <col min="6926" max="6926" width="18.375" style="66" bestFit="1" customWidth="1"/>
    <col min="6927" max="6927" width="8.625" style="66" customWidth="1"/>
    <col min="6928" max="6928" width="17.625" style="66" bestFit="1" customWidth="1"/>
    <col min="6929" max="6929" width="16.625" style="66"/>
    <col min="6930" max="6930" width="17.625" style="66" bestFit="1" customWidth="1"/>
    <col min="6931" max="7165" width="16.625" style="66"/>
    <col min="7166" max="7166" width="6" style="66" customWidth="1"/>
    <col min="7167" max="7167" width="14.625" style="66" customWidth="1"/>
    <col min="7168" max="7168" width="25.5" style="66" customWidth="1"/>
    <col min="7169" max="7180" width="17.25" style="66" bestFit="1" customWidth="1"/>
    <col min="7181" max="7181" width="10" style="66" customWidth="1"/>
    <col min="7182" max="7182" width="18.375" style="66" bestFit="1" customWidth="1"/>
    <col min="7183" max="7183" width="8.625" style="66" customWidth="1"/>
    <col min="7184" max="7184" width="17.625" style="66" bestFit="1" customWidth="1"/>
    <col min="7185" max="7185" width="16.625" style="66"/>
    <col min="7186" max="7186" width="17.625" style="66" bestFit="1" customWidth="1"/>
    <col min="7187" max="7421" width="16.625" style="66"/>
    <col min="7422" max="7422" width="6" style="66" customWidth="1"/>
    <col min="7423" max="7423" width="14.625" style="66" customWidth="1"/>
    <col min="7424" max="7424" width="25.5" style="66" customWidth="1"/>
    <col min="7425" max="7436" width="17.25" style="66" bestFit="1" customWidth="1"/>
    <col min="7437" max="7437" width="10" style="66" customWidth="1"/>
    <col min="7438" max="7438" width="18.375" style="66" bestFit="1" customWidth="1"/>
    <col min="7439" max="7439" width="8.625" style="66" customWidth="1"/>
    <col min="7440" max="7440" width="17.625" style="66" bestFit="1" customWidth="1"/>
    <col min="7441" max="7441" width="16.625" style="66"/>
    <col min="7442" max="7442" width="17.625" style="66" bestFit="1" customWidth="1"/>
    <col min="7443" max="7677" width="16.625" style="66"/>
    <col min="7678" max="7678" width="6" style="66" customWidth="1"/>
    <col min="7679" max="7679" width="14.625" style="66" customWidth="1"/>
    <col min="7680" max="7680" width="25.5" style="66" customWidth="1"/>
    <col min="7681" max="7692" width="17.25" style="66" bestFit="1" customWidth="1"/>
    <col min="7693" max="7693" width="10" style="66" customWidth="1"/>
    <col min="7694" max="7694" width="18.375" style="66" bestFit="1" customWidth="1"/>
    <col min="7695" max="7695" width="8.625" style="66" customWidth="1"/>
    <col min="7696" max="7696" width="17.625" style="66" bestFit="1" customWidth="1"/>
    <col min="7697" max="7697" width="16.625" style="66"/>
    <col min="7698" max="7698" width="17.625" style="66" bestFit="1" customWidth="1"/>
    <col min="7699" max="7933" width="16.625" style="66"/>
    <col min="7934" max="7934" width="6" style="66" customWidth="1"/>
    <col min="7935" max="7935" width="14.625" style="66" customWidth="1"/>
    <col min="7936" max="7936" width="25.5" style="66" customWidth="1"/>
    <col min="7937" max="7948" width="17.25" style="66" bestFit="1" customWidth="1"/>
    <col min="7949" max="7949" width="10" style="66" customWidth="1"/>
    <col min="7950" max="7950" width="18.375" style="66" bestFit="1" customWidth="1"/>
    <col min="7951" max="7951" width="8.625" style="66" customWidth="1"/>
    <col min="7952" max="7952" width="17.625" style="66" bestFit="1" customWidth="1"/>
    <col min="7953" max="7953" width="16.625" style="66"/>
    <col min="7954" max="7954" width="17.625" style="66" bestFit="1" customWidth="1"/>
    <col min="7955" max="8189" width="16.625" style="66"/>
    <col min="8190" max="8190" width="6" style="66" customWidth="1"/>
    <col min="8191" max="8191" width="14.625" style="66" customWidth="1"/>
    <col min="8192" max="8192" width="25.5" style="66" customWidth="1"/>
    <col min="8193" max="8204" width="17.25" style="66" bestFit="1" customWidth="1"/>
    <col min="8205" max="8205" width="10" style="66" customWidth="1"/>
    <col min="8206" max="8206" width="18.375" style="66" bestFit="1" customWidth="1"/>
    <col min="8207" max="8207" width="8.625" style="66" customWidth="1"/>
    <col min="8208" max="8208" width="17.625" style="66" bestFit="1" customWidth="1"/>
    <col min="8209" max="8209" width="16.625" style="66"/>
    <col min="8210" max="8210" width="17.625" style="66" bestFit="1" customWidth="1"/>
    <col min="8211" max="8445" width="16.625" style="66"/>
    <col min="8446" max="8446" width="6" style="66" customWidth="1"/>
    <col min="8447" max="8447" width="14.625" style="66" customWidth="1"/>
    <col min="8448" max="8448" width="25.5" style="66" customWidth="1"/>
    <col min="8449" max="8460" width="17.25" style="66" bestFit="1" customWidth="1"/>
    <col min="8461" max="8461" width="10" style="66" customWidth="1"/>
    <col min="8462" max="8462" width="18.375" style="66" bestFit="1" customWidth="1"/>
    <col min="8463" max="8463" width="8.625" style="66" customWidth="1"/>
    <col min="8464" max="8464" width="17.625" style="66" bestFit="1" customWidth="1"/>
    <col min="8465" max="8465" width="16.625" style="66"/>
    <col min="8466" max="8466" width="17.625" style="66" bestFit="1" customWidth="1"/>
    <col min="8467" max="8701" width="16.625" style="66"/>
    <col min="8702" max="8702" width="6" style="66" customWidth="1"/>
    <col min="8703" max="8703" width="14.625" style="66" customWidth="1"/>
    <col min="8704" max="8704" width="25.5" style="66" customWidth="1"/>
    <col min="8705" max="8716" width="17.25" style="66" bestFit="1" customWidth="1"/>
    <col min="8717" max="8717" width="10" style="66" customWidth="1"/>
    <col min="8718" max="8718" width="18.375" style="66" bestFit="1" customWidth="1"/>
    <col min="8719" max="8719" width="8.625" style="66" customWidth="1"/>
    <col min="8720" max="8720" width="17.625" style="66" bestFit="1" customWidth="1"/>
    <col min="8721" max="8721" width="16.625" style="66"/>
    <col min="8722" max="8722" width="17.625" style="66" bestFit="1" customWidth="1"/>
    <col min="8723" max="8957" width="16.625" style="66"/>
    <col min="8958" max="8958" width="6" style="66" customWidth="1"/>
    <col min="8959" max="8959" width="14.625" style="66" customWidth="1"/>
    <col min="8960" max="8960" width="25.5" style="66" customWidth="1"/>
    <col min="8961" max="8972" width="17.25" style="66" bestFit="1" customWidth="1"/>
    <col min="8973" max="8973" width="10" style="66" customWidth="1"/>
    <col min="8974" max="8974" width="18.375" style="66" bestFit="1" customWidth="1"/>
    <col min="8975" max="8975" width="8.625" style="66" customWidth="1"/>
    <col min="8976" max="8976" width="17.625" style="66" bestFit="1" customWidth="1"/>
    <col min="8977" max="8977" width="16.625" style="66"/>
    <col min="8978" max="8978" width="17.625" style="66" bestFit="1" customWidth="1"/>
    <col min="8979" max="9213" width="16.625" style="66"/>
    <col min="9214" max="9214" width="6" style="66" customWidth="1"/>
    <col min="9215" max="9215" width="14.625" style="66" customWidth="1"/>
    <col min="9216" max="9216" width="25.5" style="66" customWidth="1"/>
    <col min="9217" max="9228" width="17.25" style="66" bestFit="1" customWidth="1"/>
    <col min="9229" max="9229" width="10" style="66" customWidth="1"/>
    <col min="9230" max="9230" width="18.375" style="66" bestFit="1" customWidth="1"/>
    <col min="9231" max="9231" width="8.625" style="66" customWidth="1"/>
    <col min="9232" max="9232" width="17.625" style="66" bestFit="1" customWidth="1"/>
    <col min="9233" max="9233" width="16.625" style="66"/>
    <col min="9234" max="9234" width="17.625" style="66" bestFit="1" customWidth="1"/>
    <col min="9235" max="9469" width="16.625" style="66"/>
    <col min="9470" max="9470" width="6" style="66" customWidth="1"/>
    <col min="9471" max="9471" width="14.625" style="66" customWidth="1"/>
    <col min="9472" max="9472" width="25.5" style="66" customWidth="1"/>
    <col min="9473" max="9484" width="17.25" style="66" bestFit="1" customWidth="1"/>
    <col min="9485" max="9485" width="10" style="66" customWidth="1"/>
    <col min="9486" max="9486" width="18.375" style="66" bestFit="1" customWidth="1"/>
    <col min="9487" max="9487" width="8.625" style="66" customWidth="1"/>
    <col min="9488" max="9488" width="17.625" style="66" bestFit="1" customWidth="1"/>
    <col min="9489" max="9489" width="16.625" style="66"/>
    <col min="9490" max="9490" width="17.625" style="66" bestFit="1" customWidth="1"/>
    <col min="9491" max="9725" width="16.625" style="66"/>
    <col min="9726" max="9726" width="6" style="66" customWidth="1"/>
    <col min="9727" max="9727" width="14.625" style="66" customWidth="1"/>
    <col min="9728" max="9728" width="25.5" style="66" customWidth="1"/>
    <col min="9729" max="9740" width="17.25" style="66" bestFit="1" customWidth="1"/>
    <col min="9741" max="9741" width="10" style="66" customWidth="1"/>
    <col min="9742" max="9742" width="18.375" style="66" bestFit="1" customWidth="1"/>
    <col min="9743" max="9743" width="8.625" style="66" customWidth="1"/>
    <col min="9744" max="9744" width="17.625" style="66" bestFit="1" customWidth="1"/>
    <col min="9745" max="9745" width="16.625" style="66"/>
    <col min="9746" max="9746" width="17.625" style="66" bestFit="1" customWidth="1"/>
    <col min="9747" max="9981" width="16.625" style="66"/>
    <col min="9982" max="9982" width="6" style="66" customWidth="1"/>
    <col min="9983" max="9983" width="14.625" style="66" customWidth="1"/>
    <col min="9984" max="9984" width="25.5" style="66" customWidth="1"/>
    <col min="9985" max="9996" width="17.25" style="66" bestFit="1" customWidth="1"/>
    <col min="9997" max="9997" width="10" style="66" customWidth="1"/>
    <col min="9998" max="9998" width="18.375" style="66" bestFit="1" customWidth="1"/>
    <col min="9999" max="9999" width="8.625" style="66" customWidth="1"/>
    <col min="10000" max="10000" width="17.625" style="66" bestFit="1" customWidth="1"/>
    <col min="10001" max="10001" width="16.625" style="66"/>
    <col min="10002" max="10002" width="17.625" style="66" bestFit="1" customWidth="1"/>
    <col min="10003" max="10237" width="16.625" style="66"/>
    <col min="10238" max="10238" width="6" style="66" customWidth="1"/>
    <col min="10239" max="10239" width="14.625" style="66" customWidth="1"/>
    <col min="10240" max="10240" width="25.5" style="66" customWidth="1"/>
    <col min="10241" max="10252" width="17.25" style="66" bestFit="1" customWidth="1"/>
    <col min="10253" max="10253" width="10" style="66" customWidth="1"/>
    <col min="10254" max="10254" width="18.375" style="66" bestFit="1" customWidth="1"/>
    <col min="10255" max="10255" width="8.625" style="66" customWidth="1"/>
    <col min="10256" max="10256" width="17.625" style="66" bestFit="1" customWidth="1"/>
    <col min="10257" max="10257" width="16.625" style="66"/>
    <col min="10258" max="10258" width="17.625" style="66" bestFit="1" customWidth="1"/>
    <col min="10259" max="10493" width="16.625" style="66"/>
    <col min="10494" max="10494" width="6" style="66" customWidth="1"/>
    <col min="10495" max="10495" width="14.625" style="66" customWidth="1"/>
    <col min="10496" max="10496" width="25.5" style="66" customWidth="1"/>
    <col min="10497" max="10508" width="17.25" style="66" bestFit="1" customWidth="1"/>
    <col min="10509" max="10509" width="10" style="66" customWidth="1"/>
    <col min="10510" max="10510" width="18.375" style="66" bestFit="1" customWidth="1"/>
    <col min="10511" max="10511" width="8.625" style="66" customWidth="1"/>
    <col min="10512" max="10512" width="17.625" style="66" bestFit="1" customWidth="1"/>
    <col min="10513" max="10513" width="16.625" style="66"/>
    <col min="10514" max="10514" width="17.625" style="66" bestFit="1" customWidth="1"/>
    <col min="10515" max="10749" width="16.625" style="66"/>
    <col min="10750" max="10750" width="6" style="66" customWidth="1"/>
    <col min="10751" max="10751" width="14.625" style="66" customWidth="1"/>
    <col min="10752" max="10752" width="25.5" style="66" customWidth="1"/>
    <col min="10753" max="10764" width="17.25" style="66" bestFit="1" customWidth="1"/>
    <col min="10765" max="10765" width="10" style="66" customWidth="1"/>
    <col min="10766" max="10766" width="18.375" style="66" bestFit="1" customWidth="1"/>
    <col min="10767" max="10767" width="8.625" style="66" customWidth="1"/>
    <col min="10768" max="10768" width="17.625" style="66" bestFit="1" customWidth="1"/>
    <col min="10769" max="10769" width="16.625" style="66"/>
    <col min="10770" max="10770" width="17.625" style="66" bestFit="1" customWidth="1"/>
    <col min="10771" max="11005" width="16.625" style="66"/>
    <col min="11006" max="11006" width="6" style="66" customWidth="1"/>
    <col min="11007" max="11007" width="14.625" style="66" customWidth="1"/>
    <col min="11008" max="11008" width="25.5" style="66" customWidth="1"/>
    <col min="11009" max="11020" width="17.25" style="66" bestFit="1" customWidth="1"/>
    <col min="11021" max="11021" width="10" style="66" customWidth="1"/>
    <col min="11022" max="11022" width="18.375" style="66" bestFit="1" customWidth="1"/>
    <col min="11023" max="11023" width="8.625" style="66" customWidth="1"/>
    <col min="11024" max="11024" width="17.625" style="66" bestFit="1" customWidth="1"/>
    <col min="11025" max="11025" width="16.625" style="66"/>
    <col min="11026" max="11026" width="17.625" style="66" bestFit="1" customWidth="1"/>
    <col min="11027" max="11261" width="16.625" style="66"/>
    <col min="11262" max="11262" width="6" style="66" customWidth="1"/>
    <col min="11263" max="11263" width="14.625" style="66" customWidth="1"/>
    <col min="11264" max="11264" width="25.5" style="66" customWidth="1"/>
    <col min="11265" max="11276" width="17.25" style="66" bestFit="1" customWidth="1"/>
    <col min="11277" max="11277" width="10" style="66" customWidth="1"/>
    <col min="11278" max="11278" width="18.375" style="66" bestFit="1" customWidth="1"/>
    <col min="11279" max="11279" width="8.625" style="66" customWidth="1"/>
    <col min="11280" max="11280" width="17.625" style="66" bestFit="1" customWidth="1"/>
    <col min="11281" max="11281" width="16.625" style="66"/>
    <col min="11282" max="11282" width="17.625" style="66" bestFit="1" customWidth="1"/>
    <col min="11283" max="11517" width="16.625" style="66"/>
    <col min="11518" max="11518" width="6" style="66" customWidth="1"/>
    <col min="11519" max="11519" width="14.625" style="66" customWidth="1"/>
    <col min="11520" max="11520" width="25.5" style="66" customWidth="1"/>
    <col min="11521" max="11532" width="17.25" style="66" bestFit="1" customWidth="1"/>
    <col min="11533" max="11533" width="10" style="66" customWidth="1"/>
    <col min="11534" max="11534" width="18.375" style="66" bestFit="1" customWidth="1"/>
    <col min="11535" max="11535" width="8.625" style="66" customWidth="1"/>
    <col min="11536" max="11536" width="17.625" style="66" bestFit="1" customWidth="1"/>
    <col min="11537" max="11537" width="16.625" style="66"/>
    <col min="11538" max="11538" width="17.625" style="66" bestFit="1" customWidth="1"/>
    <col min="11539" max="11773" width="16.625" style="66"/>
    <col min="11774" max="11774" width="6" style="66" customWidth="1"/>
    <col min="11775" max="11775" width="14.625" style="66" customWidth="1"/>
    <col min="11776" max="11776" width="25.5" style="66" customWidth="1"/>
    <col min="11777" max="11788" width="17.25" style="66" bestFit="1" customWidth="1"/>
    <col min="11789" max="11789" width="10" style="66" customWidth="1"/>
    <col min="11790" max="11790" width="18.375" style="66" bestFit="1" customWidth="1"/>
    <col min="11791" max="11791" width="8.625" style="66" customWidth="1"/>
    <col min="11792" max="11792" width="17.625" style="66" bestFit="1" customWidth="1"/>
    <col min="11793" max="11793" width="16.625" style="66"/>
    <col min="11794" max="11794" width="17.625" style="66" bestFit="1" customWidth="1"/>
    <col min="11795" max="12029" width="16.625" style="66"/>
    <col min="12030" max="12030" width="6" style="66" customWidth="1"/>
    <col min="12031" max="12031" width="14.625" style="66" customWidth="1"/>
    <col min="12032" max="12032" width="25.5" style="66" customWidth="1"/>
    <col min="12033" max="12044" width="17.25" style="66" bestFit="1" customWidth="1"/>
    <col min="12045" max="12045" width="10" style="66" customWidth="1"/>
    <col min="12046" max="12046" width="18.375" style="66" bestFit="1" customWidth="1"/>
    <col min="12047" max="12047" width="8.625" style="66" customWidth="1"/>
    <col min="12048" max="12048" width="17.625" style="66" bestFit="1" customWidth="1"/>
    <col min="12049" max="12049" width="16.625" style="66"/>
    <col min="12050" max="12050" width="17.625" style="66" bestFit="1" customWidth="1"/>
    <col min="12051" max="12285" width="16.625" style="66"/>
    <col min="12286" max="12286" width="6" style="66" customWidth="1"/>
    <col min="12287" max="12287" width="14.625" style="66" customWidth="1"/>
    <col min="12288" max="12288" width="25.5" style="66" customWidth="1"/>
    <col min="12289" max="12300" width="17.25" style="66" bestFit="1" customWidth="1"/>
    <col min="12301" max="12301" width="10" style="66" customWidth="1"/>
    <col min="12302" max="12302" width="18.375" style="66" bestFit="1" customWidth="1"/>
    <col min="12303" max="12303" width="8.625" style="66" customWidth="1"/>
    <col min="12304" max="12304" width="17.625" style="66" bestFit="1" customWidth="1"/>
    <col min="12305" max="12305" width="16.625" style="66"/>
    <col min="12306" max="12306" width="17.625" style="66" bestFit="1" customWidth="1"/>
    <col min="12307" max="12541" width="16.625" style="66"/>
    <col min="12542" max="12542" width="6" style="66" customWidth="1"/>
    <col min="12543" max="12543" width="14.625" style="66" customWidth="1"/>
    <col min="12544" max="12544" width="25.5" style="66" customWidth="1"/>
    <col min="12545" max="12556" width="17.25" style="66" bestFit="1" customWidth="1"/>
    <col min="12557" max="12557" width="10" style="66" customWidth="1"/>
    <col min="12558" max="12558" width="18.375" style="66" bestFit="1" customWidth="1"/>
    <col min="12559" max="12559" width="8.625" style="66" customWidth="1"/>
    <col min="12560" max="12560" width="17.625" style="66" bestFit="1" customWidth="1"/>
    <col min="12561" max="12561" width="16.625" style="66"/>
    <col min="12562" max="12562" width="17.625" style="66" bestFit="1" customWidth="1"/>
    <col min="12563" max="12797" width="16.625" style="66"/>
    <col min="12798" max="12798" width="6" style="66" customWidth="1"/>
    <col min="12799" max="12799" width="14.625" style="66" customWidth="1"/>
    <col min="12800" max="12800" width="25.5" style="66" customWidth="1"/>
    <col min="12801" max="12812" width="17.25" style="66" bestFit="1" customWidth="1"/>
    <col min="12813" max="12813" width="10" style="66" customWidth="1"/>
    <col min="12814" max="12814" width="18.375" style="66" bestFit="1" customWidth="1"/>
    <col min="12815" max="12815" width="8.625" style="66" customWidth="1"/>
    <col min="12816" max="12816" width="17.625" style="66" bestFit="1" customWidth="1"/>
    <col min="12817" max="12817" width="16.625" style="66"/>
    <col min="12818" max="12818" width="17.625" style="66" bestFit="1" customWidth="1"/>
    <col min="12819" max="13053" width="16.625" style="66"/>
    <col min="13054" max="13054" width="6" style="66" customWidth="1"/>
    <col min="13055" max="13055" width="14.625" style="66" customWidth="1"/>
    <col min="13056" max="13056" width="25.5" style="66" customWidth="1"/>
    <col min="13057" max="13068" width="17.25" style="66" bestFit="1" customWidth="1"/>
    <col min="13069" max="13069" width="10" style="66" customWidth="1"/>
    <col min="13070" max="13070" width="18.375" style="66" bestFit="1" customWidth="1"/>
    <col min="13071" max="13071" width="8.625" style="66" customWidth="1"/>
    <col min="13072" max="13072" width="17.625" style="66" bestFit="1" customWidth="1"/>
    <col min="13073" max="13073" width="16.625" style="66"/>
    <col min="13074" max="13074" width="17.625" style="66" bestFit="1" customWidth="1"/>
    <col min="13075" max="13309" width="16.625" style="66"/>
    <col min="13310" max="13310" width="6" style="66" customWidth="1"/>
    <col min="13311" max="13311" width="14.625" style="66" customWidth="1"/>
    <col min="13312" max="13312" width="25.5" style="66" customWidth="1"/>
    <col min="13313" max="13324" width="17.25" style="66" bestFit="1" customWidth="1"/>
    <col min="13325" max="13325" width="10" style="66" customWidth="1"/>
    <col min="13326" max="13326" width="18.375" style="66" bestFit="1" customWidth="1"/>
    <col min="13327" max="13327" width="8.625" style="66" customWidth="1"/>
    <col min="13328" max="13328" width="17.625" style="66" bestFit="1" customWidth="1"/>
    <col min="13329" max="13329" width="16.625" style="66"/>
    <col min="13330" max="13330" width="17.625" style="66" bestFit="1" customWidth="1"/>
    <col min="13331" max="13565" width="16.625" style="66"/>
    <col min="13566" max="13566" width="6" style="66" customWidth="1"/>
    <col min="13567" max="13567" width="14.625" style="66" customWidth="1"/>
    <col min="13568" max="13568" width="25.5" style="66" customWidth="1"/>
    <col min="13569" max="13580" width="17.25" style="66" bestFit="1" customWidth="1"/>
    <col min="13581" max="13581" width="10" style="66" customWidth="1"/>
    <col min="13582" max="13582" width="18.375" style="66" bestFit="1" customWidth="1"/>
    <col min="13583" max="13583" width="8.625" style="66" customWidth="1"/>
    <col min="13584" max="13584" width="17.625" style="66" bestFit="1" customWidth="1"/>
    <col min="13585" max="13585" width="16.625" style="66"/>
    <col min="13586" max="13586" width="17.625" style="66" bestFit="1" customWidth="1"/>
    <col min="13587" max="13821" width="16.625" style="66"/>
    <col min="13822" max="13822" width="6" style="66" customWidth="1"/>
    <col min="13823" max="13823" width="14.625" style="66" customWidth="1"/>
    <col min="13824" max="13824" width="25.5" style="66" customWidth="1"/>
    <col min="13825" max="13836" width="17.25" style="66" bestFit="1" customWidth="1"/>
    <col min="13837" max="13837" width="10" style="66" customWidth="1"/>
    <col min="13838" max="13838" width="18.375" style="66" bestFit="1" customWidth="1"/>
    <col min="13839" max="13839" width="8.625" style="66" customWidth="1"/>
    <col min="13840" max="13840" width="17.625" style="66" bestFit="1" customWidth="1"/>
    <col min="13841" max="13841" width="16.625" style="66"/>
    <col min="13842" max="13842" width="17.625" style="66" bestFit="1" customWidth="1"/>
    <col min="13843" max="14077" width="16.625" style="66"/>
    <col min="14078" max="14078" width="6" style="66" customWidth="1"/>
    <col min="14079" max="14079" width="14.625" style="66" customWidth="1"/>
    <col min="14080" max="14080" width="25.5" style="66" customWidth="1"/>
    <col min="14081" max="14092" width="17.25" style="66" bestFit="1" customWidth="1"/>
    <col min="14093" max="14093" width="10" style="66" customWidth="1"/>
    <col min="14094" max="14094" width="18.375" style="66" bestFit="1" customWidth="1"/>
    <col min="14095" max="14095" width="8.625" style="66" customWidth="1"/>
    <col min="14096" max="14096" width="17.625" style="66" bestFit="1" customWidth="1"/>
    <col min="14097" max="14097" width="16.625" style="66"/>
    <col min="14098" max="14098" width="17.625" style="66" bestFit="1" customWidth="1"/>
    <col min="14099" max="14333" width="16.625" style="66"/>
    <col min="14334" max="14334" width="6" style="66" customWidth="1"/>
    <col min="14335" max="14335" width="14.625" style="66" customWidth="1"/>
    <col min="14336" max="14336" width="25.5" style="66" customWidth="1"/>
    <col min="14337" max="14348" width="17.25" style="66" bestFit="1" customWidth="1"/>
    <col min="14349" max="14349" width="10" style="66" customWidth="1"/>
    <col min="14350" max="14350" width="18.375" style="66" bestFit="1" customWidth="1"/>
    <col min="14351" max="14351" width="8.625" style="66" customWidth="1"/>
    <col min="14352" max="14352" width="17.625" style="66" bestFit="1" customWidth="1"/>
    <col min="14353" max="14353" width="16.625" style="66"/>
    <col min="14354" max="14354" width="17.625" style="66" bestFit="1" customWidth="1"/>
    <col min="14355" max="14589" width="16.625" style="66"/>
    <col min="14590" max="14590" width="6" style="66" customWidth="1"/>
    <col min="14591" max="14591" width="14.625" style="66" customWidth="1"/>
    <col min="14592" max="14592" width="25.5" style="66" customWidth="1"/>
    <col min="14593" max="14604" width="17.25" style="66" bestFit="1" customWidth="1"/>
    <col min="14605" max="14605" width="10" style="66" customWidth="1"/>
    <col min="14606" max="14606" width="18.375" style="66" bestFit="1" customWidth="1"/>
    <col min="14607" max="14607" width="8.625" style="66" customWidth="1"/>
    <col min="14608" max="14608" width="17.625" style="66" bestFit="1" customWidth="1"/>
    <col min="14609" max="14609" width="16.625" style="66"/>
    <col min="14610" max="14610" width="17.625" style="66" bestFit="1" customWidth="1"/>
    <col min="14611" max="14845" width="16.625" style="66"/>
    <col min="14846" max="14846" width="6" style="66" customWidth="1"/>
    <col min="14847" max="14847" width="14.625" style="66" customWidth="1"/>
    <col min="14848" max="14848" width="25.5" style="66" customWidth="1"/>
    <col min="14849" max="14860" width="17.25" style="66" bestFit="1" customWidth="1"/>
    <col min="14861" max="14861" width="10" style="66" customWidth="1"/>
    <col min="14862" max="14862" width="18.375" style="66" bestFit="1" customWidth="1"/>
    <col min="14863" max="14863" width="8.625" style="66" customWidth="1"/>
    <col min="14864" max="14864" width="17.625" style="66" bestFit="1" customWidth="1"/>
    <col min="14865" max="14865" width="16.625" style="66"/>
    <col min="14866" max="14866" width="17.625" style="66" bestFit="1" customWidth="1"/>
    <col min="14867" max="15101" width="16.625" style="66"/>
    <col min="15102" max="15102" width="6" style="66" customWidth="1"/>
    <col min="15103" max="15103" width="14.625" style="66" customWidth="1"/>
    <col min="15104" max="15104" width="25.5" style="66" customWidth="1"/>
    <col min="15105" max="15116" width="17.25" style="66" bestFit="1" customWidth="1"/>
    <col min="15117" max="15117" width="10" style="66" customWidth="1"/>
    <col min="15118" max="15118" width="18.375" style="66" bestFit="1" customWidth="1"/>
    <col min="15119" max="15119" width="8.625" style="66" customWidth="1"/>
    <col min="15120" max="15120" width="17.625" style="66" bestFit="1" customWidth="1"/>
    <col min="15121" max="15121" width="16.625" style="66"/>
    <col min="15122" max="15122" width="17.625" style="66" bestFit="1" customWidth="1"/>
    <col min="15123" max="15357" width="16.625" style="66"/>
    <col min="15358" max="15358" width="6" style="66" customWidth="1"/>
    <col min="15359" max="15359" width="14.625" style="66" customWidth="1"/>
    <col min="15360" max="15360" width="25.5" style="66" customWidth="1"/>
    <col min="15361" max="15372" width="17.25" style="66" bestFit="1" customWidth="1"/>
    <col min="15373" max="15373" width="10" style="66" customWidth="1"/>
    <col min="15374" max="15374" width="18.375" style="66" bestFit="1" customWidth="1"/>
    <col min="15375" max="15375" width="8.625" style="66" customWidth="1"/>
    <col min="15376" max="15376" width="17.625" style="66" bestFit="1" customWidth="1"/>
    <col min="15377" max="15377" width="16.625" style="66"/>
    <col min="15378" max="15378" width="17.625" style="66" bestFit="1" customWidth="1"/>
    <col min="15379" max="15613" width="16.625" style="66"/>
    <col min="15614" max="15614" width="6" style="66" customWidth="1"/>
    <col min="15615" max="15615" width="14.625" style="66" customWidth="1"/>
    <col min="15616" max="15616" width="25.5" style="66" customWidth="1"/>
    <col min="15617" max="15628" width="17.25" style="66" bestFit="1" customWidth="1"/>
    <col min="15629" max="15629" width="10" style="66" customWidth="1"/>
    <col min="15630" max="15630" width="18.375" style="66" bestFit="1" customWidth="1"/>
    <col min="15631" max="15631" width="8.625" style="66" customWidth="1"/>
    <col min="15632" max="15632" width="17.625" style="66" bestFit="1" customWidth="1"/>
    <col min="15633" max="15633" width="16.625" style="66"/>
    <col min="15634" max="15634" width="17.625" style="66" bestFit="1" customWidth="1"/>
    <col min="15635" max="15869" width="16.625" style="66"/>
    <col min="15870" max="15870" width="6" style="66" customWidth="1"/>
    <col min="15871" max="15871" width="14.625" style="66" customWidth="1"/>
    <col min="15872" max="15872" width="25.5" style="66" customWidth="1"/>
    <col min="15873" max="15884" width="17.25" style="66" bestFit="1" customWidth="1"/>
    <col min="15885" max="15885" width="10" style="66" customWidth="1"/>
    <col min="15886" max="15886" width="18.375" style="66" bestFit="1" customWidth="1"/>
    <col min="15887" max="15887" width="8.625" style="66" customWidth="1"/>
    <col min="15888" max="15888" width="17.625" style="66" bestFit="1" customWidth="1"/>
    <col min="15889" max="15889" width="16.625" style="66"/>
    <col min="15890" max="15890" width="17.625" style="66" bestFit="1" customWidth="1"/>
    <col min="15891" max="16125" width="16.625" style="66"/>
    <col min="16126" max="16126" width="6" style="66" customWidth="1"/>
    <col min="16127" max="16127" width="14.625" style="66" customWidth="1"/>
    <col min="16128" max="16128" width="25.5" style="66" customWidth="1"/>
    <col min="16129" max="16140" width="17.25" style="66" bestFit="1" customWidth="1"/>
    <col min="16141" max="16141" width="10" style="66" customWidth="1"/>
    <col min="16142" max="16142" width="18.375" style="66" bestFit="1" customWidth="1"/>
    <col min="16143" max="16143" width="8.625" style="66" customWidth="1"/>
    <col min="16144" max="16144" width="17.625" style="66" bestFit="1" customWidth="1"/>
    <col min="16145" max="16145" width="16.625" style="66"/>
    <col min="16146" max="16146" width="17.625" style="66" bestFit="1" customWidth="1"/>
    <col min="16147" max="16384" width="16.625" style="66"/>
  </cols>
  <sheetData>
    <row r="1" spans="1:18" s="41" customFormat="1" ht="28.5" customHeight="1" thickBot="1" x14ac:dyDescent="0.35">
      <c r="A1" s="83" t="s">
        <v>297</v>
      </c>
      <c r="C1" s="472">
        <v>1</v>
      </c>
      <c r="D1" s="472"/>
      <c r="N1" s="91" t="s">
        <v>348</v>
      </c>
      <c r="O1" s="90">
        <v>42.369</v>
      </c>
      <c r="P1" s="71"/>
      <c r="R1" s="216" t="s">
        <v>376</v>
      </c>
    </row>
    <row r="2" spans="1:18" s="41" customFormat="1" ht="28.5" customHeight="1" x14ac:dyDescent="0.3">
      <c r="A2" s="297" t="s">
        <v>285</v>
      </c>
      <c r="B2" s="242" t="s">
        <v>282</v>
      </c>
      <c r="C2" s="242" t="s">
        <v>283</v>
      </c>
      <c r="D2" s="242" t="s">
        <v>284</v>
      </c>
      <c r="E2" s="183"/>
      <c r="F2" s="242" t="s">
        <v>295</v>
      </c>
      <c r="G2" s="242" t="s">
        <v>282</v>
      </c>
      <c r="H2" s="242" t="s">
        <v>283</v>
      </c>
      <c r="I2" s="242" t="s">
        <v>284</v>
      </c>
      <c r="N2" s="298"/>
      <c r="O2" s="299"/>
      <c r="P2" s="71"/>
      <c r="R2" s="216"/>
    </row>
    <row r="3" spans="1:18" s="41" customFormat="1" ht="28.5" customHeight="1" x14ac:dyDescent="0.3">
      <c r="A3" s="286" t="s">
        <v>286</v>
      </c>
      <c r="B3" s="288">
        <f>'3_1. 개발량 계획'!Q60</f>
        <v>236874</v>
      </c>
      <c r="C3" s="288">
        <f>ROUND(HLOOKUP($C$1,$A$68:$O$95,4,0)/1000,0)</f>
        <v>0</v>
      </c>
      <c r="D3" s="289">
        <f t="shared" ref="D3:D11" si="0">C3/B3</f>
        <v>0</v>
      </c>
      <c r="E3" s="93"/>
      <c r="F3" s="286" t="s">
        <v>286</v>
      </c>
      <c r="G3" s="288">
        <f>'3_1. 개발량 계획'!O22</f>
        <v>5590728</v>
      </c>
      <c r="H3" s="288">
        <f>HLOOKUP($C$1,$A$38:$O$65,4,0)</f>
        <v>0</v>
      </c>
      <c r="I3" s="289">
        <f t="shared" ref="I3:I11" si="1">H3/G3</f>
        <v>0</v>
      </c>
      <c r="N3" s="298"/>
      <c r="O3" s="299"/>
      <c r="P3" s="71"/>
      <c r="R3" s="216"/>
    </row>
    <row r="4" spans="1:18" s="41" customFormat="1" ht="28.5" customHeight="1" x14ac:dyDescent="0.3">
      <c r="A4" s="286" t="s">
        <v>287</v>
      </c>
      <c r="B4" s="89">
        <f>'3_1. 개발량 계획'!Q63</f>
        <v>26108</v>
      </c>
      <c r="C4" s="89">
        <f>ROUND(HLOOKUP($C$1,$A$68:$O$95,7,0)/1000,0)</f>
        <v>0</v>
      </c>
      <c r="D4" s="290">
        <f t="shared" si="0"/>
        <v>0</v>
      </c>
      <c r="E4" s="71"/>
      <c r="F4" s="286" t="s">
        <v>287</v>
      </c>
      <c r="G4" s="89">
        <f>'3_1. 개발량 계획'!O25</f>
        <v>616215</v>
      </c>
      <c r="H4" s="89">
        <f>HLOOKUP($C$1,$A$38:$O$65,7,0)</f>
        <v>0</v>
      </c>
      <c r="I4" s="290">
        <f t="shared" si="1"/>
        <v>0</v>
      </c>
      <c r="N4" s="298"/>
      <c r="O4" s="299"/>
      <c r="P4" s="71"/>
      <c r="R4" s="216"/>
    </row>
    <row r="5" spans="1:18" s="41" customFormat="1" ht="28.5" customHeight="1" x14ac:dyDescent="0.3">
      <c r="A5" s="287" t="s">
        <v>288</v>
      </c>
      <c r="B5" s="244">
        <f t="shared" ref="B5:C5" si="2">SUM(B3:B4)</f>
        <v>262982</v>
      </c>
      <c r="C5" s="244">
        <f t="shared" si="2"/>
        <v>0</v>
      </c>
      <c r="D5" s="291">
        <f t="shared" si="0"/>
        <v>0</v>
      </c>
      <c r="E5" s="71"/>
      <c r="F5" s="287" t="s">
        <v>288</v>
      </c>
      <c r="G5" s="244">
        <f t="shared" ref="G5" si="3">SUM(G3:G4)</f>
        <v>6206943</v>
      </c>
      <c r="H5" s="244">
        <f t="shared" ref="H5" si="4">SUM(H3:H4)</f>
        <v>0</v>
      </c>
      <c r="I5" s="291">
        <f t="shared" si="1"/>
        <v>0</v>
      </c>
      <c r="N5" s="298"/>
      <c r="O5" s="299"/>
      <c r="P5" s="71"/>
      <c r="R5" s="216"/>
    </row>
    <row r="6" spans="1:18" s="41" customFormat="1" ht="28.5" customHeight="1" x14ac:dyDescent="0.3">
      <c r="A6" s="286" t="s">
        <v>289</v>
      </c>
      <c r="B6" s="89">
        <f>'3_1. 개발량 계획'!Q69</f>
        <v>45432</v>
      </c>
      <c r="C6" s="89">
        <f>ROUND(HLOOKUP($C$1,$A$68:$O$95,13,0)/1000,0)</f>
        <v>0</v>
      </c>
      <c r="D6" s="290">
        <f t="shared" si="0"/>
        <v>0</v>
      </c>
      <c r="E6" s="71"/>
      <c r="F6" s="286" t="s">
        <v>289</v>
      </c>
      <c r="G6" s="89">
        <f>'3_1. 개발량 계획'!O31</f>
        <v>1072294</v>
      </c>
      <c r="H6" s="89">
        <f>HLOOKUP($C$1,$A$38:$O$65,13,0)</f>
        <v>0</v>
      </c>
      <c r="I6" s="290">
        <f t="shared" si="1"/>
        <v>0</v>
      </c>
      <c r="N6" s="298"/>
      <c r="O6" s="299"/>
      <c r="P6" s="71"/>
      <c r="R6" s="216"/>
    </row>
    <row r="7" spans="1:18" s="41" customFormat="1" ht="28.5" customHeight="1" x14ac:dyDescent="0.3">
      <c r="A7" s="286" t="s">
        <v>290</v>
      </c>
      <c r="B7" s="89">
        <f>'3_1. 개발량 계획'!Q72</f>
        <v>48523</v>
      </c>
      <c r="C7" s="89">
        <f>ROUND(HLOOKUP($C$1,$A$68:$O$95,16,0)/1000,0)</f>
        <v>0</v>
      </c>
      <c r="D7" s="290">
        <f t="shared" si="0"/>
        <v>0</v>
      </c>
      <c r="E7" s="71"/>
      <c r="F7" s="286" t="s">
        <v>290</v>
      </c>
      <c r="G7" s="89">
        <f>'3_1. 개발량 계획'!O34</f>
        <v>1145237</v>
      </c>
      <c r="H7" s="89">
        <f>HLOOKUP($C$1,$A$38:$O$65,16,0)</f>
        <v>0</v>
      </c>
      <c r="I7" s="290">
        <f t="shared" si="1"/>
        <v>0</v>
      </c>
      <c r="N7" s="298"/>
      <c r="O7" s="299"/>
      <c r="P7" s="71"/>
      <c r="R7" s="216"/>
    </row>
    <row r="8" spans="1:18" s="41" customFormat="1" ht="28.5" customHeight="1" x14ac:dyDescent="0.3">
      <c r="A8" s="286" t="s">
        <v>291</v>
      </c>
      <c r="B8" s="89">
        <f>'3_1. 개발량 계획'!Q75</f>
        <v>22865</v>
      </c>
      <c r="C8" s="89">
        <f>ROUND(HLOOKUP($C$1,$A$68:$O$95,19,0)/1000,0)</f>
        <v>0</v>
      </c>
      <c r="D8" s="290">
        <f t="shared" si="0"/>
        <v>0</v>
      </c>
      <c r="E8" s="71"/>
      <c r="F8" s="286" t="s">
        <v>291</v>
      </c>
      <c r="G8" s="89">
        <f>'3_1. 개발량 계획'!O37</f>
        <v>540000</v>
      </c>
      <c r="H8" s="89">
        <f>HLOOKUP($C$1,$A$38:$O$65,19,0)</f>
        <v>0</v>
      </c>
      <c r="I8" s="290">
        <f t="shared" si="1"/>
        <v>0</v>
      </c>
      <c r="N8" s="298"/>
      <c r="O8" s="299"/>
      <c r="P8" s="71"/>
      <c r="R8" s="216"/>
    </row>
    <row r="9" spans="1:18" s="41" customFormat="1" ht="28.5" customHeight="1" x14ac:dyDescent="0.3">
      <c r="A9" s="301" t="s">
        <v>292</v>
      </c>
      <c r="B9" s="244">
        <f t="shared" ref="B9:C9" si="5">SUM(B5:B8)</f>
        <v>379802</v>
      </c>
      <c r="C9" s="244">
        <f t="shared" si="5"/>
        <v>0</v>
      </c>
      <c r="D9" s="291">
        <f t="shared" si="0"/>
        <v>0</v>
      </c>
      <c r="E9" s="71"/>
      <c r="F9" s="300" t="s">
        <v>292</v>
      </c>
      <c r="G9" s="244">
        <f t="shared" ref="G9" si="6">SUM(G5:G8)</f>
        <v>8964474</v>
      </c>
      <c r="H9" s="244">
        <f t="shared" ref="H9" si="7">SUM(H5:H8)</f>
        <v>0</v>
      </c>
      <c r="I9" s="291">
        <f t="shared" si="1"/>
        <v>0</v>
      </c>
      <c r="N9" s="298"/>
      <c r="O9" s="299"/>
      <c r="P9" s="71"/>
      <c r="R9" s="216"/>
    </row>
    <row r="10" spans="1:18" s="41" customFormat="1" ht="28.5" customHeight="1" x14ac:dyDescent="0.3">
      <c r="A10" s="286" t="s">
        <v>293</v>
      </c>
      <c r="B10" s="89">
        <f>ROUND('3_1. 개발량 계획'!Q98/1000,0)</f>
        <v>0</v>
      </c>
      <c r="C10" s="89">
        <f>ROUND(HLOOKUP($C$1,$A$68:$O$95,25,0)/1000,0)</f>
        <v>0</v>
      </c>
      <c r="D10" s="290" t="e">
        <f t="shared" si="0"/>
        <v>#DIV/0!</v>
      </c>
      <c r="E10" s="71"/>
      <c r="F10" s="286" t="s">
        <v>293</v>
      </c>
      <c r="G10" s="89">
        <f>ROUND('3_1. 개발량 계획'!Q95,0)</f>
        <v>0</v>
      </c>
      <c r="H10" s="89">
        <f>HLOOKUP($C$1,$A$38:$O$65,25,0)</f>
        <v>0</v>
      </c>
      <c r="I10" s="290" t="e">
        <f t="shared" si="1"/>
        <v>#DIV/0!</v>
      </c>
      <c r="N10" s="298"/>
      <c r="O10" s="299"/>
      <c r="P10" s="71"/>
      <c r="R10" s="216"/>
    </row>
    <row r="11" spans="1:18" s="41" customFormat="1" ht="28.5" customHeight="1" x14ac:dyDescent="0.3">
      <c r="A11" s="301" t="s">
        <v>294</v>
      </c>
      <c r="B11" s="244">
        <f t="shared" ref="B11:C11" si="8">SUM(B9:B10)</f>
        <v>379802</v>
      </c>
      <c r="C11" s="244">
        <f t="shared" si="8"/>
        <v>0</v>
      </c>
      <c r="D11" s="291">
        <f t="shared" si="0"/>
        <v>0</v>
      </c>
      <c r="E11" s="71"/>
      <c r="F11" s="300" t="s">
        <v>294</v>
      </c>
      <c r="G11" s="244">
        <f t="shared" ref="G11" si="9">SUM(G9:G10)</f>
        <v>8964474</v>
      </c>
      <c r="H11" s="244">
        <f t="shared" ref="H11" si="10">SUM(H9:H10)</f>
        <v>0</v>
      </c>
      <c r="I11" s="291">
        <f t="shared" si="1"/>
        <v>0</v>
      </c>
      <c r="N11" s="298"/>
      <c r="O11" s="299"/>
      <c r="P11" s="71"/>
      <c r="R11" s="216"/>
    </row>
    <row r="12" spans="1:18" s="41" customFormat="1" ht="28.5" customHeight="1" x14ac:dyDescent="0.3">
      <c r="A12" s="83"/>
      <c r="N12" s="298"/>
      <c r="O12" s="299"/>
      <c r="P12" s="71"/>
      <c r="R12" s="216"/>
    </row>
    <row r="13" spans="1:18" s="41" customFormat="1" ht="28.5" customHeight="1" thickBot="1" x14ac:dyDescent="0.35">
      <c r="A13" s="83" t="s">
        <v>259</v>
      </c>
      <c r="J13" s="391"/>
      <c r="N13" s="298"/>
      <c r="O13" s="299"/>
      <c r="P13" s="71"/>
      <c r="R13" s="216"/>
    </row>
    <row r="14" spans="1:18" ht="29.25" customHeight="1" thickBot="1" x14ac:dyDescent="0.35">
      <c r="A14" s="424" t="s">
        <v>73</v>
      </c>
      <c r="B14" s="424"/>
      <c r="C14" s="85">
        <v>1</v>
      </c>
      <c r="D14" s="85">
        <v>2</v>
      </c>
      <c r="E14" s="85">
        <v>3</v>
      </c>
      <c r="F14" s="85">
        <v>4</v>
      </c>
      <c r="G14" s="85">
        <v>5</v>
      </c>
      <c r="H14" s="85">
        <v>6</v>
      </c>
      <c r="I14" s="85">
        <v>7</v>
      </c>
      <c r="J14" s="85">
        <v>8</v>
      </c>
      <c r="K14" s="85">
        <v>9</v>
      </c>
      <c r="L14" s="85">
        <v>10</v>
      </c>
      <c r="M14" s="85">
        <v>11</v>
      </c>
      <c r="N14" s="85">
        <v>12</v>
      </c>
      <c r="O14" s="85" t="s">
        <v>74</v>
      </c>
      <c r="P14" s="71">
        <v>1</v>
      </c>
      <c r="R14" s="88" t="s">
        <v>372</v>
      </c>
    </row>
    <row r="15" spans="1:18" ht="18.75" customHeight="1" x14ac:dyDescent="0.3">
      <c r="A15" s="426" t="s">
        <v>227</v>
      </c>
      <c r="B15" s="235"/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O15" s="249">
        <f>SUM(C15:N15)</f>
        <v>0</v>
      </c>
      <c r="P15" s="71">
        <v>2</v>
      </c>
    </row>
    <row r="16" spans="1:18" ht="18.75" customHeight="1" x14ac:dyDescent="0.3">
      <c r="A16" s="426"/>
      <c r="B16" s="243" t="s">
        <v>230</v>
      </c>
      <c r="C16" s="248">
        <f>C15</f>
        <v>0</v>
      </c>
      <c r="D16" s="248">
        <f>C16+D15</f>
        <v>0</v>
      </c>
      <c r="E16" s="248">
        <f t="shared" ref="E16:N16" si="11">D16+E15</f>
        <v>0</v>
      </c>
      <c r="F16" s="248">
        <f t="shared" si="11"/>
        <v>0</v>
      </c>
      <c r="G16" s="248">
        <f t="shared" si="11"/>
        <v>0</v>
      </c>
      <c r="H16" s="248">
        <f t="shared" si="11"/>
        <v>0</v>
      </c>
      <c r="I16" s="248">
        <f t="shared" si="11"/>
        <v>0</v>
      </c>
      <c r="J16" s="248">
        <f t="shared" si="11"/>
        <v>0</v>
      </c>
      <c r="K16" s="248">
        <f t="shared" si="11"/>
        <v>0</v>
      </c>
      <c r="L16" s="248">
        <f t="shared" si="11"/>
        <v>0</v>
      </c>
      <c r="M16" s="248">
        <f t="shared" si="11"/>
        <v>0</v>
      </c>
      <c r="N16" s="248">
        <f t="shared" si="11"/>
        <v>0</v>
      </c>
      <c r="O16" s="70"/>
      <c r="P16" s="71">
        <v>3</v>
      </c>
    </row>
    <row r="17" spans="1:18" ht="18.75" customHeight="1" x14ac:dyDescent="0.3">
      <c r="A17" s="426" t="s">
        <v>228</v>
      </c>
      <c r="B17" s="235"/>
      <c r="C17" s="279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79"/>
      <c r="O17" s="249">
        <f>SUM(C17:N17)</f>
        <v>0</v>
      </c>
      <c r="P17" s="71">
        <v>4</v>
      </c>
    </row>
    <row r="18" spans="1:18" ht="18.75" customHeight="1" x14ac:dyDescent="0.3">
      <c r="A18" s="426"/>
      <c r="B18" s="243" t="s">
        <v>234</v>
      </c>
      <c r="C18" s="248">
        <f>C17</f>
        <v>0</v>
      </c>
      <c r="D18" s="248">
        <f t="shared" ref="D18:N18" si="12">C18+D17</f>
        <v>0</v>
      </c>
      <c r="E18" s="248">
        <f t="shared" si="12"/>
        <v>0</v>
      </c>
      <c r="F18" s="248">
        <f t="shared" si="12"/>
        <v>0</v>
      </c>
      <c r="G18" s="248">
        <f t="shared" si="12"/>
        <v>0</v>
      </c>
      <c r="H18" s="248">
        <f t="shared" si="12"/>
        <v>0</v>
      </c>
      <c r="I18" s="248">
        <f t="shared" si="12"/>
        <v>0</v>
      </c>
      <c r="J18" s="248">
        <f t="shared" si="12"/>
        <v>0</v>
      </c>
      <c r="K18" s="248">
        <f t="shared" si="12"/>
        <v>0</v>
      </c>
      <c r="L18" s="248">
        <f t="shared" si="12"/>
        <v>0</v>
      </c>
      <c r="M18" s="248">
        <f t="shared" si="12"/>
        <v>0</v>
      </c>
      <c r="N18" s="248">
        <f t="shared" si="12"/>
        <v>0</v>
      </c>
      <c r="O18" s="70"/>
      <c r="P18" s="71">
        <v>5</v>
      </c>
    </row>
    <row r="19" spans="1:18" ht="18.75" customHeight="1" x14ac:dyDescent="0.3">
      <c r="A19" s="425" t="s">
        <v>19</v>
      </c>
      <c r="B19" s="425"/>
      <c r="C19" s="244">
        <f t="shared" ref="C19:N19" si="13">C15+C17</f>
        <v>0</v>
      </c>
      <c r="D19" s="244">
        <f t="shared" si="13"/>
        <v>0</v>
      </c>
      <c r="E19" s="244">
        <f t="shared" si="13"/>
        <v>0</v>
      </c>
      <c r="F19" s="244">
        <f t="shared" si="13"/>
        <v>0</v>
      </c>
      <c r="G19" s="244">
        <f t="shared" si="13"/>
        <v>0</v>
      </c>
      <c r="H19" s="244">
        <f t="shared" si="13"/>
        <v>0</v>
      </c>
      <c r="I19" s="244">
        <f t="shared" si="13"/>
        <v>0</v>
      </c>
      <c r="J19" s="244">
        <f t="shared" si="13"/>
        <v>0</v>
      </c>
      <c r="K19" s="244">
        <f t="shared" si="13"/>
        <v>0</v>
      </c>
      <c r="L19" s="244">
        <f t="shared" si="13"/>
        <v>0</v>
      </c>
      <c r="M19" s="244">
        <f t="shared" si="13"/>
        <v>0</v>
      </c>
      <c r="N19" s="244">
        <f t="shared" si="13"/>
        <v>0</v>
      </c>
      <c r="O19" s="244">
        <f>SUM(C19:N19)</f>
        <v>0</v>
      </c>
      <c r="P19" s="71">
        <v>6</v>
      </c>
    </row>
    <row r="20" spans="1:18" ht="18.75" customHeight="1" x14ac:dyDescent="0.3">
      <c r="A20" s="426" t="s">
        <v>88</v>
      </c>
      <c r="B20" s="235"/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49">
        <f>SUM(C20:N20)</f>
        <v>0</v>
      </c>
      <c r="P20" s="71">
        <v>7</v>
      </c>
    </row>
    <row r="21" spans="1:18" ht="18.75" customHeight="1" x14ac:dyDescent="0.3">
      <c r="A21" s="426"/>
      <c r="B21" s="243" t="s">
        <v>235</v>
      </c>
      <c r="C21" s="248">
        <f>C20</f>
        <v>0</v>
      </c>
      <c r="D21" s="248">
        <f>C21+D20</f>
        <v>0</v>
      </c>
      <c r="E21" s="248">
        <f t="shared" ref="E21:N21" si="14">D21+E20</f>
        <v>0</v>
      </c>
      <c r="F21" s="248">
        <f t="shared" si="14"/>
        <v>0</v>
      </c>
      <c r="G21" s="248">
        <f t="shared" si="14"/>
        <v>0</v>
      </c>
      <c r="H21" s="248">
        <f t="shared" si="14"/>
        <v>0</v>
      </c>
      <c r="I21" s="248">
        <f t="shared" si="14"/>
        <v>0</v>
      </c>
      <c r="J21" s="248">
        <f t="shared" si="14"/>
        <v>0</v>
      </c>
      <c r="K21" s="248">
        <f t="shared" si="14"/>
        <v>0</v>
      </c>
      <c r="L21" s="248">
        <f t="shared" si="14"/>
        <v>0</v>
      </c>
      <c r="M21" s="248">
        <f t="shared" si="14"/>
        <v>0</v>
      </c>
      <c r="N21" s="248">
        <f t="shared" si="14"/>
        <v>0</v>
      </c>
      <c r="O21" s="70"/>
      <c r="P21" s="71">
        <v>8</v>
      </c>
    </row>
    <row r="22" spans="1:18" ht="18.75" customHeight="1" x14ac:dyDescent="0.3">
      <c r="A22" s="426" t="s">
        <v>231</v>
      </c>
      <c r="B22" s="235"/>
      <c r="C22" s="279"/>
      <c r="D22" s="279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O22" s="249">
        <f>SUM(C22:N22)</f>
        <v>0</v>
      </c>
      <c r="P22" s="71">
        <v>9</v>
      </c>
    </row>
    <row r="23" spans="1:18" ht="18.75" customHeight="1" x14ac:dyDescent="0.3">
      <c r="A23" s="426"/>
      <c r="B23" s="243" t="s">
        <v>229</v>
      </c>
      <c r="C23" s="248">
        <f>C22</f>
        <v>0</v>
      </c>
      <c r="D23" s="248">
        <f t="shared" ref="D23:N23" si="15">C23+D22</f>
        <v>0</v>
      </c>
      <c r="E23" s="248">
        <f t="shared" si="15"/>
        <v>0</v>
      </c>
      <c r="F23" s="248">
        <f t="shared" si="15"/>
        <v>0</v>
      </c>
      <c r="G23" s="248">
        <f t="shared" si="15"/>
        <v>0</v>
      </c>
      <c r="H23" s="248">
        <f t="shared" si="15"/>
        <v>0</v>
      </c>
      <c r="I23" s="248">
        <f t="shared" si="15"/>
        <v>0</v>
      </c>
      <c r="J23" s="248">
        <f t="shared" si="15"/>
        <v>0</v>
      </c>
      <c r="K23" s="248">
        <f t="shared" si="15"/>
        <v>0</v>
      </c>
      <c r="L23" s="248">
        <f t="shared" si="15"/>
        <v>0</v>
      </c>
      <c r="M23" s="248">
        <f t="shared" si="15"/>
        <v>0</v>
      </c>
      <c r="N23" s="248">
        <f t="shared" si="15"/>
        <v>0</v>
      </c>
      <c r="O23" s="70"/>
      <c r="P23" s="71">
        <v>10</v>
      </c>
    </row>
    <row r="24" spans="1:18" ht="18.75" customHeight="1" x14ac:dyDescent="0.3">
      <c r="A24" s="426" t="s">
        <v>232</v>
      </c>
      <c r="B24" s="235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49">
        <f>SUM(C24:N24)</f>
        <v>0</v>
      </c>
      <c r="P24" s="71">
        <v>11</v>
      </c>
    </row>
    <row r="25" spans="1:18" ht="18.75" customHeight="1" x14ac:dyDescent="0.3">
      <c r="A25" s="426"/>
      <c r="B25" s="243" t="s">
        <v>235</v>
      </c>
      <c r="C25" s="248">
        <f>C24</f>
        <v>0</v>
      </c>
      <c r="D25" s="248">
        <f>C25+D24</f>
        <v>0</v>
      </c>
      <c r="E25" s="248">
        <f t="shared" ref="E25:N25" si="16">D25+E24</f>
        <v>0</v>
      </c>
      <c r="F25" s="248">
        <f t="shared" si="16"/>
        <v>0</v>
      </c>
      <c r="G25" s="248">
        <f t="shared" si="16"/>
        <v>0</v>
      </c>
      <c r="H25" s="248">
        <f t="shared" si="16"/>
        <v>0</v>
      </c>
      <c r="I25" s="248">
        <f t="shared" si="16"/>
        <v>0</v>
      </c>
      <c r="J25" s="248">
        <f t="shared" si="16"/>
        <v>0</v>
      </c>
      <c r="K25" s="248">
        <f t="shared" si="16"/>
        <v>0</v>
      </c>
      <c r="L25" s="248">
        <f t="shared" si="16"/>
        <v>0</v>
      </c>
      <c r="M25" s="248">
        <f t="shared" si="16"/>
        <v>0</v>
      </c>
      <c r="N25" s="248">
        <f t="shared" si="16"/>
        <v>0</v>
      </c>
      <c r="O25" s="70"/>
      <c r="P25" s="71">
        <v>12</v>
      </c>
    </row>
    <row r="26" spans="1:18" ht="18.75" customHeight="1" x14ac:dyDescent="0.3">
      <c r="A26" s="426" t="s">
        <v>233</v>
      </c>
      <c r="B26" s="235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49">
        <f>SUM(C26:N26)</f>
        <v>0</v>
      </c>
      <c r="P26" s="71">
        <v>13</v>
      </c>
    </row>
    <row r="27" spans="1:18" ht="18.75" customHeight="1" x14ac:dyDescent="0.3">
      <c r="A27" s="426"/>
      <c r="B27" s="243" t="s">
        <v>229</v>
      </c>
      <c r="C27" s="248">
        <f>C26</f>
        <v>0</v>
      </c>
      <c r="D27" s="248">
        <f t="shared" ref="D27:N27" si="17">C27+D26</f>
        <v>0</v>
      </c>
      <c r="E27" s="248">
        <f t="shared" si="17"/>
        <v>0</v>
      </c>
      <c r="F27" s="248">
        <f t="shared" si="17"/>
        <v>0</v>
      </c>
      <c r="G27" s="248">
        <f t="shared" si="17"/>
        <v>0</v>
      </c>
      <c r="H27" s="248">
        <f t="shared" si="17"/>
        <v>0</v>
      </c>
      <c r="I27" s="248">
        <f t="shared" si="17"/>
        <v>0</v>
      </c>
      <c r="J27" s="248">
        <f t="shared" si="17"/>
        <v>0</v>
      </c>
      <c r="K27" s="248">
        <f t="shared" si="17"/>
        <v>0</v>
      </c>
      <c r="L27" s="248">
        <f t="shared" si="17"/>
        <v>0</v>
      </c>
      <c r="M27" s="248">
        <f t="shared" si="17"/>
        <v>0</v>
      </c>
      <c r="N27" s="248">
        <f t="shared" si="17"/>
        <v>0</v>
      </c>
      <c r="O27" s="70"/>
      <c r="P27" s="71">
        <v>14</v>
      </c>
    </row>
    <row r="28" spans="1:18" ht="18.75" customHeight="1" x14ac:dyDescent="0.3">
      <c r="A28" s="425" t="s">
        <v>236</v>
      </c>
      <c r="B28" s="245"/>
      <c r="C28" s="244">
        <f t="shared" ref="C28:N28" si="18">SUM(C15,C17,C20,C22,C24,C26)</f>
        <v>0</v>
      </c>
      <c r="D28" s="244">
        <f t="shared" si="18"/>
        <v>0</v>
      </c>
      <c r="E28" s="244">
        <f t="shared" si="18"/>
        <v>0</v>
      </c>
      <c r="F28" s="244">
        <f t="shared" si="18"/>
        <v>0</v>
      </c>
      <c r="G28" s="244">
        <f t="shared" si="18"/>
        <v>0</v>
      </c>
      <c r="H28" s="244">
        <f t="shared" si="18"/>
        <v>0</v>
      </c>
      <c r="I28" s="244">
        <f t="shared" si="18"/>
        <v>0</v>
      </c>
      <c r="J28" s="244">
        <f t="shared" si="18"/>
        <v>0</v>
      </c>
      <c r="K28" s="244">
        <f t="shared" si="18"/>
        <v>0</v>
      </c>
      <c r="L28" s="244">
        <f t="shared" si="18"/>
        <v>0</v>
      </c>
      <c r="M28" s="244">
        <f t="shared" si="18"/>
        <v>0</v>
      </c>
      <c r="N28" s="244">
        <f t="shared" si="18"/>
        <v>0</v>
      </c>
      <c r="O28" s="244">
        <f>SUM(C28:N28)</f>
        <v>0</v>
      </c>
      <c r="P28" s="71">
        <v>15</v>
      </c>
    </row>
    <row r="29" spans="1:18" ht="18.75" customHeight="1" x14ac:dyDescent="0.3">
      <c r="A29" s="425"/>
      <c r="B29" s="246" t="s">
        <v>229</v>
      </c>
      <c r="C29" s="247">
        <f>C28</f>
        <v>0</v>
      </c>
      <c r="D29" s="247">
        <f t="shared" ref="D29:N29" si="19">C29+D28</f>
        <v>0</v>
      </c>
      <c r="E29" s="247">
        <f t="shared" si="19"/>
        <v>0</v>
      </c>
      <c r="F29" s="247">
        <f t="shared" si="19"/>
        <v>0</v>
      </c>
      <c r="G29" s="247">
        <f t="shared" si="19"/>
        <v>0</v>
      </c>
      <c r="H29" s="247">
        <f t="shared" si="19"/>
        <v>0</v>
      </c>
      <c r="I29" s="247">
        <f t="shared" si="19"/>
        <v>0</v>
      </c>
      <c r="J29" s="247">
        <f t="shared" si="19"/>
        <v>0</v>
      </c>
      <c r="K29" s="247">
        <f t="shared" si="19"/>
        <v>0</v>
      </c>
      <c r="L29" s="247">
        <f t="shared" si="19"/>
        <v>0</v>
      </c>
      <c r="M29" s="247">
        <f t="shared" si="19"/>
        <v>0</v>
      </c>
      <c r="N29" s="247">
        <f t="shared" si="19"/>
        <v>0</v>
      </c>
      <c r="O29" s="244"/>
      <c r="P29" s="71">
        <v>16</v>
      </c>
      <c r="R29" s="87"/>
    </row>
    <row r="30" spans="1:18" ht="18.75" customHeight="1" x14ac:dyDescent="0.3">
      <c r="A30" s="72"/>
      <c r="P30" s="71">
        <v>17</v>
      </c>
    </row>
    <row r="31" spans="1:18" ht="18.75" customHeight="1" x14ac:dyDescent="0.3">
      <c r="A31" s="83" t="s">
        <v>254</v>
      </c>
      <c r="P31" s="71">
        <v>18</v>
      </c>
    </row>
    <row r="32" spans="1:18" ht="18.75" customHeight="1" x14ac:dyDescent="0.3">
      <c r="A32" s="427" t="s">
        <v>73</v>
      </c>
      <c r="B32" s="428"/>
      <c r="C32" s="85">
        <v>1</v>
      </c>
      <c r="D32" s="85">
        <v>2</v>
      </c>
      <c r="E32" s="85">
        <v>3</v>
      </c>
      <c r="F32" s="85">
        <v>4</v>
      </c>
      <c r="G32" s="85">
        <v>5</v>
      </c>
      <c r="H32" s="85">
        <v>6</v>
      </c>
      <c r="I32" s="85">
        <v>7</v>
      </c>
      <c r="J32" s="85">
        <v>8</v>
      </c>
      <c r="K32" s="85">
        <v>9</v>
      </c>
      <c r="L32" s="85">
        <v>10</v>
      </c>
      <c r="M32" s="85">
        <v>11</v>
      </c>
      <c r="N32" s="85">
        <v>12</v>
      </c>
      <c r="O32" s="85" t="s">
        <v>255</v>
      </c>
      <c r="P32" s="71">
        <v>19</v>
      </c>
    </row>
    <row r="33" spans="1:19" ht="18.75" customHeight="1" x14ac:dyDescent="0.3">
      <c r="A33" s="429" t="s">
        <v>258</v>
      </c>
      <c r="B33" s="239" t="s">
        <v>256</v>
      </c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89"/>
      <c r="P33" s="71">
        <v>20</v>
      </c>
    </row>
    <row r="34" spans="1:19" ht="18.75" customHeight="1" x14ac:dyDescent="0.3">
      <c r="A34" s="430"/>
      <c r="B34" s="240" t="s">
        <v>257</v>
      </c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89"/>
      <c r="P34" s="71">
        <v>21</v>
      </c>
    </row>
    <row r="35" spans="1:19" ht="18.75" customHeight="1" x14ac:dyDescent="0.3">
      <c r="A35" s="431"/>
      <c r="B35" s="277" t="s">
        <v>260</v>
      </c>
      <c r="C35" s="280" t="e">
        <f t="shared" ref="C35:N35" si="20">C33/C34</f>
        <v>#DIV/0!</v>
      </c>
      <c r="D35" s="280" t="e">
        <f t="shared" si="20"/>
        <v>#DIV/0!</v>
      </c>
      <c r="E35" s="280" t="e">
        <f t="shared" si="20"/>
        <v>#DIV/0!</v>
      </c>
      <c r="F35" s="280" t="e">
        <f t="shared" si="20"/>
        <v>#DIV/0!</v>
      </c>
      <c r="G35" s="280" t="e">
        <f t="shared" si="20"/>
        <v>#DIV/0!</v>
      </c>
      <c r="H35" s="280" t="e">
        <f t="shared" si="20"/>
        <v>#DIV/0!</v>
      </c>
      <c r="I35" s="280" t="e">
        <f t="shared" si="20"/>
        <v>#DIV/0!</v>
      </c>
      <c r="J35" s="280" t="e">
        <f t="shared" si="20"/>
        <v>#DIV/0!</v>
      </c>
      <c r="K35" s="280" t="e">
        <f t="shared" si="20"/>
        <v>#DIV/0!</v>
      </c>
      <c r="L35" s="280" t="e">
        <f t="shared" si="20"/>
        <v>#DIV/0!</v>
      </c>
      <c r="M35" s="280" t="e">
        <f t="shared" si="20"/>
        <v>#DIV/0!</v>
      </c>
      <c r="N35" s="280" t="e">
        <f t="shared" si="20"/>
        <v>#DIV/0!</v>
      </c>
      <c r="O35" s="276"/>
      <c r="P35" s="71">
        <v>22</v>
      </c>
    </row>
    <row r="36" spans="1:19" ht="18.75" customHeight="1" x14ac:dyDescent="0.3">
      <c r="A36" s="72"/>
      <c r="D36" s="389">
        <f>D33+C33</f>
        <v>0</v>
      </c>
      <c r="E36" s="389">
        <f>D36+E33</f>
        <v>0</v>
      </c>
      <c r="F36" s="389">
        <f t="shared" ref="F36:N36" si="21">E36+F33</f>
        <v>0</v>
      </c>
      <c r="G36" s="389">
        <f t="shared" si="21"/>
        <v>0</v>
      </c>
      <c r="H36" s="389">
        <f t="shared" si="21"/>
        <v>0</v>
      </c>
      <c r="I36" s="389">
        <f t="shared" si="21"/>
        <v>0</v>
      </c>
      <c r="J36" s="389">
        <f t="shared" si="21"/>
        <v>0</v>
      </c>
      <c r="K36" s="389">
        <f t="shared" si="21"/>
        <v>0</v>
      </c>
      <c r="L36" s="389">
        <f t="shared" si="21"/>
        <v>0</v>
      </c>
      <c r="M36" s="389">
        <f t="shared" si="21"/>
        <v>0</v>
      </c>
      <c r="N36" s="389">
        <f t="shared" si="21"/>
        <v>0</v>
      </c>
      <c r="P36" s="71">
        <v>23</v>
      </c>
    </row>
    <row r="37" spans="1:19" s="41" customFormat="1" ht="28.5" customHeight="1" x14ac:dyDescent="0.3">
      <c r="A37" s="83" t="s">
        <v>237</v>
      </c>
      <c r="D37" s="390">
        <f>D34+C34</f>
        <v>0</v>
      </c>
      <c r="E37" s="390">
        <f>D37+E34</f>
        <v>0</v>
      </c>
      <c r="F37" s="390">
        <f t="shared" ref="F37:N37" si="22">E37+F34</f>
        <v>0</v>
      </c>
      <c r="G37" s="390">
        <f t="shared" si="22"/>
        <v>0</v>
      </c>
      <c r="H37" s="390">
        <f t="shared" si="22"/>
        <v>0</v>
      </c>
      <c r="I37" s="390">
        <f t="shared" si="22"/>
        <v>0</v>
      </c>
      <c r="J37" s="390">
        <f t="shared" si="22"/>
        <v>0</v>
      </c>
      <c r="K37" s="390">
        <f t="shared" si="22"/>
        <v>0</v>
      </c>
      <c r="L37" s="390">
        <f t="shared" si="22"/>
        <v>0</v>
      </c>
      <c r="M37" s="390">
        <f t="shared" si="22"/>
        <v>0</v>
      </c>
      <c r="N37" s="390">
        <f t="shared" si="22"/>
        <v>0</v>
      </c>
      <c r="P37" s="71">
        <v>24</v>
      </c>
    </row>
    <row r="38" spans="1:19" ht="29.25" customHeight="1" thickBot="1" x14ac:dyDescent="0.35">
      <c r="A38" s="427" t="s">
        <v>73</v>
      </c>
      <c r="B38" s="428"/>
      <c r="C38" s="85">
        <v>1</v>
      </c>
      <c r="D38" s="85">
        <v>2</v>
      </c>
      <c r="E38" s="85">
        <v>3</v>
      </c>
      <c r="F38" s="85">
        <v>4</v>
      </c>
      <c r="G38" s="85">
        <v>5</v>
      </c>
      <c r="H38" s="85">
        <v>6</v>
      </c>
      <c r="I38" s="85">
        <v>7</v>
      </c>
      <c r="J38" s="85">
        <v>8</v>
      </c>
      <c r="K38" s="85">
        <v>9</v>
      </c>
      <c r="L38" s="85">
        <v>10</v>
      </c>
      <c r="M38" s="85">
        <v>11</v>
      </c>
      <c r="N38" s="85">
        <v>12</v>
      </c>
      <c r="O38" s="85" t="s">
        <v>74</v>
      </c>
      <c r="P38" s="71">
        <v>25</v>
      </c>
      <c r="S38" s="66">
        <v>1</v>
      </c>
    </row>
    <row r="39" spans="1:19" ht="18.75" customHeight="1" thickBot="1" x14ac:dyDescent="0.35">
      <c r="A39" s="429" t="s">
        <v>238</v>
      </c>
      <c r="B39" s="235"/>
      <c r="C39" s="67">
        <f t="shared" ref="C39:N39" si="23">ROUND(C15*$R$39,0)</f>
        <v>0</v>
      </c>
      <c r="D39" s="67">
        <f t="shared" si="23"/>
        <v>0</v>
      </c>
      <c r="E39" s="67">
        <f t="shared" si="23"/>
        <v>0</v>
      </c>
      <c r="F39" s="67">
        <f t="shared" si="23"/>
        <v>0</v>
      </c>
      <c r="G39" s="67">
        <f t="shared" si="23"/>
        <v>0</v>
      </c>
      <c r="H39" s="67">
        <f>ROUND(H15*$R$39,0)</f>
        <v>0</v>
      </c>
      <c r="I39" s="67">
        <f t="shared" si="23"/>
        <v>0</v>
      </c>
      <c r="J39" s="67">
        <f t="shared" si="23"/>
        <v>0</v>
      </c>
      <c r="K39" s="67">
        <f t="shared" si="23"/>
        <v>0</v>
      </c>
      <c r="L39" s="67">
        <f t="shared" si="23"/>
        <v>0</v>
      </c>
      <c r="M39" s="67">
        <f t="shared" si="23"/>
        <v>0</v>
      </c>
      <c r="N39" s="67">
        <f t="shared" si="23"/>
        <v>0</v>
      </c>
      <c r="O39" s="67">
        <f>SUM(C39:N39)</f>
        <v>0</v>
      </c>
      <c r="P39" s="71">
        <v>26</v>
      </c>
      <c r="Q39" s="86" t="s">
        <v>5</v>
      </c>
      <c r="R39" s="260">
        <f>'3_1. 개발량 계획'!R21</f>
        <v>47.4</v>
      </c>
      <c r="S39" s="66">
        <v>2</v>
      </c>
    </row>
    <row r="40" spans="1:19" ht="18.75" customHeight="1" x14ac:dyDescent="0.3">
      <c r="A40" s="430"/>
      <c r="B40" s="84" t="s">
        <v>86</v>
      </c>
      <c r="C40" s="68">
        <f>C39</f>
        <v>0</v>
      </c>
      <c r="D40" s="68">
        <f>C40+D39</f>
        <v>0</v>
      </c>
      <c r="E40" s="68">
        <f t="shared" ref="E40:N41" si="24">D40+E39</f>
        <v>0</v>
      </c>
      <c r="F40" s="68">
        <f t="shared" si="24"/>
        <v>0</v>
      </c>
      <c r="G40" s="68">
        <f t="shared" si="24"/>
        <v>0</v>
      </c>
      <c r="H40" s="68">
        <f t="shared" si="24"/>
        <v>0</v>
      </c>
      <c r="I40" s="68">
        <f t="shared" si="24"/>
        <v>0</v>
      </c>
      <c r="J40" s="68">
        <f t="shared" si="24"/>
        <v>0</v>
      </c>
      <c r="K40" s="68">
        <f t="shared" si="24"/>
        <v>0</v>
      </c>
      <c r="L40" s="68">
        <f t="shared" si="24"/>
        <v>0</v>
      </c>
      <c r="M40" s="68">
        <f t="shared" si="24"/>
        <v>0</v>
      </c>
      <c r="N40" s="68">
        <f t="shared" si="24"/>
        <v>0</v>
      </c>
      <c r="O40" s="293">
        <f>SUM(C40:N40)</f>
        <v>0</v>
      </c>
      <c r="P40" s="71">
        <v>27</v>
      </c>
      <c r="R40" s="261"/>
      <c r="S40" s="66">
        <v>3</v>
      </c>
    </row>
    <row r="41" spans="1:19" ht="18.75" customHeight="1" thickBot="1" x14ac:dyDescent="0.35">
      <c r="A41" s="431"/>
      <c r="B41" s="250" t="s">
        <v>87</v>
      </c>
      <c r="C41" s="251">
        <f>C40</f>
        <v>0</v>
      </c>
      <c r="D41" s="251">
        <f>C41+D40</f>
        <v>0</v>
      </c>
      <c r="E41" s="251">
        <f t="shared" si="24"/>
        <v>0</v>
      </c>
      <c r="F41" s="251">
        <f>E41+F40</f>
        <v>0</v>
      </c>
      <c r="G41" s="251">
        <f t="shared" si="24"/>
        <v>0</v>
      </c>
      <c r="H41" s="251">
        <f t="shared" si="24"/>
        <v>0</v>
      </c>
      <c r="I41" s="251">
        <f t="shared" si="24"/>
        <v>0</v>
      </c>
      <c r="J41" s="251">
        <f t="shared" si="24"/>
        <v>0</v>
      </c>
      <c r="K41" s="251">
        <f t="shared" si="24"/>
        <v>0</v>
      </c>
      <c r="L41" s="251">
        <f t="shared" si="24"/>
        <v>0</v>
      </c>
      <c r="M41" s="251">
        <f t="shared" si="24"/>
        <v>0</v>
      </c>
      <c r="N41" s="251">
        <f t="shared" si="24"/>
        <v>0</v>
      </c>
      <c r="O41" s="252" t="b">
        <f>EXACT(O40,N41)</f>
        <v>1</v>
      </c>
      <c r="P41" s="71">
        <v>28</v>
      </c>
      <c r="R41" s="262"/>
      <c r="S41" s="66">
        <v>4</v>
      </c>
    </row>
    <row r="42" spans="1:19" ht="18.75" customHeight="1" thickBot="1" x14ac:dyDescent="0.35">
      <c r="A42" s="429" t="s">
        <v>253</v>
      </c>
      <c r="B42" s="235"/>
      <c r="C42" s="67">
        <f t="shared" ref="C42:N42" si="25">ROUND(C17*$R$42,0)</f>
        <v>0</v>
      </c>
      <c r="D42" s="67">
        <f t="shared" si="25"/>
        <v>0</v>
      </c>
      <c r="E42" s="67">
        <f t="shared" si="25"/>
        <v>0</v>
      </c>
      <c r="F42" s="67">
        <f t="shared" si="25"/>
        <v>0</v>
      </c>
      <c r="G42" s="67">
        <f t="shared" si="25"/>
        <v>0</v>
      </c>
      <c r="H42" s="67">
        <f t="shared" si="25"/>
        <v>0</v>
      </c>
      <c r="I42" s="67">
        <f t="shared" si="25"/>
        <v>0</v>
      </c>
      <c r="J42" s="67">
        <f t="shared" si="25"/>
        <v>0</v>
      </c>
      <c r="K42" s="67">
        <f t="shared" si="25"/>
        <v>0</v>
      </c>
      <c r="L42" s="67">
        <f t="shared" si="25"/>
        <v>0</v>
      </c>
      <c r="M42" s="67">
        <f t="shared" si="25"/>
        <v>0</v>
      </c>
      <c r="N42" s="67">
        <f t="shared" si="25"/>
        <v>0</v>
      </c>
      <c r="O42" s="67">
        <f>SUM(C42:N42)</f>
        <v>0</v>
      </c>
      <c r="P42" s="71">
        <v>29</v>
      </c>
      <c r="Q42" s="86" t="s">
        <v>62</v>
      </c>
      <c r="R42" s="260">
        <f>'3_1. 개발량 계획'!R24</f>
        <v>41.8</v>
      </c>
      <c r="S42" s="66">
        <v>5</v>
      </c>
    </row>
    <row r="43" spans="1:19" ht="18.75" customHeight="1" x14ac:dyDescent="0.3">
      <c r="A43" s="430"/>
      <c r="B43" s="84" t="s">
        <v>86</v>
      </c>
      <c r="C43" s="68">
        <f>C42</f>
        <v>0</v>
      </c>
      <c r="D43" s="68">
        <f>C43+D42</f>
        <v>0</v>
      </c>
      <c r="E43" s="68">
        <f t="shared" ref="E43:N44" si="26">D43+E42</f>
        <v>0</v>
      </c>
      <c r="F43" s="68">
        <f t="shared" si="26"/>
        <v>0</v>
      </c>
      <c r="G43" s="68">
        <f t="shared" si="26"/>
        <v>0</v>
      </c>
      <c r="H43" s="68">
        <f t="shared" si="26"/>
        <v>0</v>
      </c>
      <c r="I43" s="68">
        <f t="shared" si="26"/>
        <v>0</v>
      </c>
      <c r="J43" s="68">
        <f t="shared" si="26"/>
        <v>0</v>
      </c>
      <c r="K43" s="68">
        <f t="shared" si="26"/>
        <v>0</v>
      </c>
      <c r="L43" s="68">
        <f t="shared" si="26"/>
        <v>0</v>
      </c>
      <c r="M43" s="68">
        <f t="shared" si="26"/>
        <v>0</v>
      </c>
      <c r="N43" s="68">
        <f t="shared" si="26"/>
        <v>0</v>
      </c>
      <c r="O43" s="293">
        <f>SUM(C43:N43)</f>
        <v>0</v>
      </c>
      <c r="P43" s="71">
        <v>30</v>
      </c>
      <c r="R43" s="261"/>
      <c r="S43" s="66">
        <v>6</v>
      </c>
    </row>
    <row r="44" spans="1:19" ht="18.75" customHeight="1" thickBot="1" x14ac:dyDescent="0.35">
      <c r="A44" s="430"/>
      <c r="B44" s="253" t="s">
        <v>87</v>
      </c>
      <c r="C44" s="254">
        <f>C43</f>
        <v>0</v>
      </c>
      <c r="D44" s="254">
        <f>C44+D43</f>
        <v>0</v>
      </c>
      <c r="E44" s="254">
        <f t="shared" si="26"/>
        <v>0</v>
      </c>
      <c r="F44" s="254">
        <f>E44+F43</f>
        <v>0</v>
      </c>
      <c r="G44" s="254">
        <f t="shared" si="26"/>
        <v>0</v>
      </c>
      <c r="H44" s="254">
        <f t="shared" si="26"/>
        <v>0</v>
      </c>
      <c r="I44" s="254">
        <f t="shared" si="26"/>
        <v>0</v>
      </c>
      <c r="J44" s="254">
        <f t="shared" si="26"/>
        <v>0</v>
      </c>
      <c r="K44" s="254">
        <f t="shared" si="26"/>
        <v>0</v>
      </c>
      <c r="L44" s="254">
        <f t="shared" si="26"/>
        <v>0</v>
      </c>
      <c r="M44" s="254">
        <f t="shared" si="26"/>
        <v>0</v>
      </c>
      <c r="N44" s="254">
        <f t="shared" si="26"/>
        <v>0</v>
      </c>
      <c r="O44" s="255" t="b">
        <f>EXACT(O43,N44)</f>
        <v>1</v>
      </c>
      <c r="P44" s="71">
        <v>31</v>
      </c>
      <c r="R44" s="262"/>
      <c r="S44" s="66">
        <v>7</v>
      </c>
    </row>
    <row r="45" spans="1:19" ht="18.75" customHeight="1" x14ac:dyDescent="0.3">
      <c r="A45" s="432" t="s">
        <v>239</v>
      </c>
      <c r="B45" s="256"/>
      <c r="C45" s="236">
        <f t="shared" ref="C45:N45" si="27">C39+C42</f>
        <v>0</v>
      </c>
      <c r="D45" s="236">
        <f t="shared" si="27"/>
        <v>0</v>
      </c>
      <c r="E45" s="236">
        <f t="shared" si="27"/>
        <v>0</v>
      </c>
      <c r="F45" s="236">
        <f t="shared" si="27"/>
        <v>0</v>
      </c>
      <c r="G45" s="236">
        <f t="shared" si="27"/>
        <v>0</v>
      </c>
      <c r="H45" s="236">
        <f t="shared" si="27"/>
        <v>0</v>
      </c>
      <c r="I45" s="236">
        <f t="shared" si="27"/>
        <v>0</v>
      </c>
      <c r="J45" s="236">
        <f t="shared" si="27"/>
        <v>0</v>
      </c>
      <c r="K45" s="236">
        <f t="shared" si="27"/>
        <v>0</v>
      </c>
      <c r="L45" s="236">
        <f t="shared" si="27"/>
        <v>0</v>
      </c>
      <c r="M45" s="236">
        <f t="shared" si="27"/>
        <v>0</v>
      </c>
      <c r="N45" s="236">
        <f t="shared" si="27"/>
        <v>0</v>
      </c>
      <c r="O45" s="237">
        <f>SUM(C45:N45)</f>
        <v>0</v>
      </c>
      <c r="P45" s="71">
        <v>32</v>
      </c>
      <c r="R45" s="262"/>
      <c r="S45" s="66">
        <v>8</v>
      </c>
    </row>
    <row r="46" spans="1:19" ht="18.75" customHeight="1" x14ac:dyDescent="0.3">
      <c r="A46" s="433"/>
      <c r="B46" s="84" t="s">
        <v>86</v>
      </c>
      <c r="C46" s="68">
        <f>C45</f>
        <v>0</v>
      </c>
      <c r="D46" s="68">
        <f>C46+D45</f>
        <v>0</v>
      </c>
      <c r="E46" s="68">
        <f t="shared" ref="E46:N47" si="28">D46+E45</f>
        <v>0</v>
      </c>
      <c r="F46" s="68">
        <f t="shared" si="28"/>
        <v>0</v>
      </c>
      <c r="G46" s="68">
        <f t="shared" si="28"/>
        <v>0</v>
      </c>
      <c r="H46" s="68">
        <f t="shared" si="28"/>
        <v>0</v>
      </c>
      <c r="I46" s="68">
        <f t="shared" si="28"/>
        <v>0</v>
      </c>
      <c r="J46" s="68">
        <f t="shared" si="28"/>
        <v>0</v>
      </c>
      <c r="K46" s="68">
        <f t="shared" si="28"/>
        <v>0</v>
      </c>
      <c r="L46" s="68">
        <f t="shared" si="28"/>
        <v>0</v>
      </c>
      <c r="M46" s="68">
        <f t="shared" si="28"/>
        <v>0</v>
      </c>
      <c r="N46" s="68">
        <f t="shared" si="28"/>
        <v>0</v>
      </c>
      <c r="O46" s="294">
        <f>SUM(C46:N46)</f>
        <v>0</v>
      </c>
      <c r="P46" s="71">
        <v>33</v>
      </c>
      <c r="R46" s="262"/>
      <c r="S46" s="66">
        <v>9</v>
      </c>
    </row>
    <row r="47" spans="1:19" ht="18.75" customHeight="1" thickBot="1" x14ac:dyDescent="0.35">
      <c r="A47" s="434"/>
      <c r="B47" s="257" t="s">
        <v>87</v>
      </c>
      <c r="C47" s="258">
        <f>C46</f>
        <v>0</v>
      </c>
      <c r="D47" s="258">
        <f>C47+D46</f>
        <v>0</v>
      </c>
      <c r="E47" s="258">
        <f t="shared" si="28"/>
        <v>0</v>
      </c>
      <c r="F47" s="258">
        <f>E47+F46</f>
        <v>0</v>
      </c>
      <c r="G47" s="258">
        <f t="shared" si="28"/>
        <v>0</v>
      </c>
      <c r="H47" s="258">
        <f t="shared" si="28"/>
        <v>0</v>
      </c>
      <c r="I47" s="258">
        <f t="shared" si="28"/>
        <v>0</v>
      </c>
      <c r="J47" s="258">
        <f t="shared" si="28"/>
        <v>0</v>
      </c>
      <c r="K47" s="258">
        <f t="shared" si="28"/>
        <v>0</v>
      </c>
      <c r="L47" s="258">
        <f t="shared" si="28"/>
        <v>0</v>
      </c>
      <c r="M47" s="258">
        <f t="shared" si="28"/>
        <v>0</v>
      </c>
      <c r="N47" s="258">
        <f t="shared" si="28"/>
        <v>0</v>
      </c>
      <c r="O47" s="259" t="b">
        <f>N47=(N41+N44)</f>
        <v>1</v>
      </c>
      <c r="P47" s="71">
        <v>34</v>
      </c>
      <c r="R47" s="262"/>
      <c r="S47" s="66">
        <v>10</v>
      </c>
    </row>
    <row r="48" spans="1:19" ht="18.75" customHeight="1" thickBot="1" x14ac:dyDescent="0.35">
      <c r="A48" s="429" t="s">
        <v>88</v>
      </c>
      <c r="B48" s="235"/>
      <c r="C48" s="67">
        <f t="shared" ref="C48:N48" si="29">ROUND(C20*$R$48,0)</f>
        <v>0</v>
      </c>
      <c r="D48" s="67">
        <f t="shared" si="29"/>
        <v>0</v>
      </c>
      <c r="E48" s="67">
        <f t="shared" si="29"/>
        <v>0</v>
      </c>
      <c r="F48" s="67">
        <f t="shared" si="29"/>
        <v>0</v>
      </c>
      <c r="G48" s="67">
        <f t="shared" si="29"/>
        <v>0</v>
      </c>
      <c r="H48" s="67">
        <f t="shared" si="29"/>
        <v>0</v>
      </c>
      <c r="I48" s="67">
        <f t="shared" si="29"/>
        <v>0</v>
      </c>
      <c r="J48" s="67">
        <f t="shared" si="29"/>
        <v>0</v>
      </c>
      <c r="K48" s="67">
        <f t="shared" si="29"/>
        <v>0</v>
      </c>
      <c r="L48" s="67">
        <f t="shared" si="29"/>
        <v>0</v>
      </c>
      <c r="M48" s="67">
        <f t="shared" si="29"/>
        <v>0</v>
      </c>
      <c r="N48" s="67">
        <f t="shared" si="29"/>
        <v>0</v>
      </c>
      <c r="O48" s="67">
        <f>SUM(C48:N48)</f>
        <v>0</v>
      </c>
      <c r="P48" s="71">
        <v>35</v>
      </c>
      <c r="Q48" s="86" t="s">
        <v>244</v>
      </c>
      <c r="R48" s="260">
        <f>'3_1. 개발량 계획'!R30</f>
        <v>200.5</v>
      </c>
      <c r="S48" s="66">
        <v>11</v>
      </c>
    </row>
    <row r="49" spans="1:19" ht="18.75" customHeight="1" x14ac:dyDescent="0.3">
      <c r="A49" s="430"/>
      <c r="B49" s="84" t="s">
        <v>86</v>
      </c>
      <c r="C49" s="68">
        <f>C48</f>
        <v>0</v>
      </c>
      <c r="D49" s="68">
        <f>C49+D48</f>
        <v>0</v>
      </c>
      <c r="E49" s="68">
        <f t="shared" ref="E49:N50" si="30">D49+E48</f>
        <v>0</v>
      </c>
      <c r="F49" s="68">
        <f t="shared" si="30"/>
        <v>0</v>
      </c>
      <c r="G49" s="68">
        <f t="shared" si="30"/>
        <v>0</v>
      </c>
      <c r="H49" s="68">
        <f t="shared" si="30"/>
        <v>0</v>
      </c>
      <c r="I49" s="68">
        <f t="shared" si="30"/>
        <v>0</v>
      </c>
      <c r="J49" s="68">
        <f t="shared" si="30"/>
        <v>0</v>
      </c>
      <c r="K49" s="68">
        <f t="shared" si="30"/>
        <v>0</v>
      </c>
      <c r="L49" s="68">
        <f t="shared" si="30"/>
        <v>0</v>
      </c>
      <c r="M49" s="68">
        <f t="shared" si="30"/>
        <v>0</v>
      </c>
      <c r="N49" s="68">
        <f t="shared" si="30"/>
        <v>0</v>
      </c>
      <c r="O49" s="293">
        <f>SUM(C49:N49)</f>
        <v>0</v>
      </c>
      <c r="P49" s="71">
        <v>36</v>
      </c>
      <c r="S49" s="66">
        <v>12</v>
      </c>
    </row>
    <row r="50" spans="1:19" ht="18.75" customHeight="1" x14ac:dyDescent="0.3">
      <c r="A50" s="431"/>
      <c r="B50" s="250" t="s">
        <v>87</v>
      </c>
      <c r="C50" s="251">
        <f>C49</f>
        <v>0</v>
      </c>
      <c r="D50" s="251">
        <f>C50+D49</f>
        <v>0</v>
      </c>
      <c r="E50" s="251">
        <f t="shared" si="30"/>
        <v>0</v>
      </c>
      <c r="F50" s="251">
        <f>E50+F49</f>
        <v>0</v>
      </c>
      <c r="G50" s="251">
        <f t="shared" si="30"/>
        <v>0</v>
      </c>
      <c r="H50" s="251">
        <f t="shared" si="30"/>
        <v>0</v>
      </c>
      <c r="I50" s="251">
        <f t="shared" si="30"/>
        <v>0</v>
      </c>
      <c r="J50" s="251">
        <f t="shared" si="30"/>
        <v>0</v>
      </c>
      <c r="K50" s="251">
        <f t="shared" si="30"/>
        <v>0</v>
      </c>
      <c r="L50" s="251">
        <f t="shared" si="30"/>
        <v>0</v>
      </c>
      <c r="M50" s="251">
        <f t="shared" si="30"/>
        <v>0</v>
      </c>
      <c r="N50" s="251">
        <f t="shared" si="30"/>
        <v>0</v>
      </c>
      <c r="O50" s="252" t="b">
        <f>EXACT(O49,N50)</f>
        <v>1</v>
      </c>
      <c r="P50" s="71">
        <v>37</v>
      </c>
      <c r="S50" s="66">
        <v>13</v>
      </c>
    </row>
    <row r="51" spans="1:19" ht="18.75" customHeight="1" x14ac:dyDescent="0.3">
      <c r="A51" s="429" t="s">
        <v>240</v>
      </c>
      <c r="B51" s="235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67">
        <f>SUM(C51:N51)</f>
        <v>0</v>
      </c>
      <c r="P51" s="71">
        <v>38</v>
      </c>
      <c r="S51" s="66">
        <v>14</v>
      </c>
    </row>
    <row r="52" spans="1:19" ht="18.75" customHeight="1" x14ac:dyDescent="0.3">
      <c r="A52" s="430"/>
      <c r="B52" s="84" t="s">
        <v>86</v>
      </c>
      <c r="C52" s="68">
        <f>C51</f>
        <v>0</v>
      </c>
      <c r="D52" s="68">
        <f>C52+D51</f>
        <v>0</v>
      </c>
      <c r="E52" s="68">
        <f t="shared" ref="E52:N53" si="31">D52+E51</f>
        <v>0</v>
      </c>
      <c r="F52" s="68">
        <f t="shared" si="31"/>
        <v>0</v>
      </c>
      <c r="G52" s="68">
        <f t="shared" si="31"/>
        <v>0</v>
      </c>
      <c r="H52" s="68">
        <f t="shared" si="31"/>
        <v>0</v>
      </c>
      <c r="I52" s="68">
        <f t="shared" si="31"/>
        <v>0</v>
      </c>
      <c r="J52" s="68">
        <f t="shared" si="31"/>
        <v>0</v>
      </c>
      <c r="K52" s="68">
        <f t="shared" si="31"/>
        <v>0</v>
      </c>
      <c r="L52" s="68">
        <f t="shared" si="31"/>
        <v>0</v>
      </c>
      <c r="M52" s="68">
        <f t="shared" si="31"/>
        <v>0</v>
      </c>
      <c r="N52" s="68">
        <f t="shared" si="31"/>
        <v>0</v>
      </c>
      <c r="O52" s="293">
        <f>SUM(C52:N52)</f>
        <v>0</v>
      </c>
      <c r="P52" s="71">
        <v>39</v>
      </c>
      <c r="S52" s="66">
        <v>15</v>
      </c>
    </row>
    <row r="53" spans="1:19" ht="18.75" customHeight="1" x14ac:dyDescent="0.3">
      <c r="A53" s="431"/>
      <c r="B53" s="250" t="s">
        <v>87</v>
      </c>
      <c r="C53" s="251">
        <f>C52</f>
        <v>0</v>
      </c>
      <c r="D53" s="251">
        <f>C53+D52</f>
        <v>0</v>
      </c>
      <c r="E53" s="251">
        <f t="shared" si="31"/>
        <v>0</v>
      </c>
      <c r="F53" s="251">
        <f>E53+F52</f>
        <v>0</v>
      </c>
      <c r="G53" s="251">
        <f t="shared" si="31"/>
        <v>0</v>
      </c>
      <c r="H53" s="251">
        <f t="shared" si="31"/>
        <v>0</v>
      </c>
      <c r="I53" s="251">
        <f t="shared" si="31"/>
        <v>0</v>
      </c>
      <c r="J53" s="251">
        <f t="shared" si="31"/>
        <v>0</v>
      </c>
      <c r="K53" s="251">
        <f t="shared" si="31"/>
        <v>0</v>
      </c>
      <c r="L53" s="251">
        <f t="shared" si="31"/>
        <v>0</v>
      </c>
      <c r="M53" s="251">
        <f t="shared" si="31"/>
        <v>0</v>
      </c>
      <c r="N53" s="251">
        <f t="shared" si="31"/>
        <v>0</v>
      </c>
      <c r="O53" s="252" t="b">
        <f>EXACT(O52,N53)</f>
        <v>1</v>
      </c>
      <c r="P53" s="71">
        <v>40</v>
      </c>
      <c r="S53" s="66">
        <v>16</v>
      </c>
    </row>
    <row r="54" spans="1:19" ht="18.75" customHeight="1" x14ac:dyDescent="0.3">
      <c r="A54" s="429" t="s">
        <v>75</v>
      </c>
      <c r="B54" s="235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67">
        <f>SUM(C54:N54)</f>
        <v>0</v>
      </c>
      <c r="P54" s="71">
        <v>41</v>
      </c>
      <c r="S54" s="66">
        <v>17</v>
      </c>
    </row>
    <row r="55" spans="1:19" ht="18.75" customHeight="1" x14ac:dyDescent="0.3">
      <c r="A55" s="430"/>
      <c r="B55" s="84" t="s">
        <v>86</v>
      </c>
      <c r="C55" s="68">
        <f>C54</f>
        <v>0</v>
      </c>
      <c r="D55" s="68">
        <f>C55+D54</f>
        <v>0</v>
      </c>
      <c r="E55" s="68">
        <f t="shared" ref="E55:N56" si="32">D55+E54</f>
        <v>0</v>
      </c>
      <c r="F55" s="68">
        <f t="shared" si="32"/>
        <v>0</v>
      </c>
      <c r="G55" s="68">
        <f t="shared" si="32"/>
        <v>0</v>
      </c>
      <c r="H55" s="68">
        <f t="shared" si="32"/>
        <v>0</v>
      </c>
      <c r="I55" s="68">
        <f t="shared" si="32"/>
        <v>0</v>
      </c>
      <c r="J55" s="68">
        <f t="shared" si="32"/>
        <v>0</v>
      </c>
      <c r="K55" s="68">
        <f t="shared" si="32"/>
        <v>0</v>
      </c>
      <c r="L55" s="68">
        <f t="shared" si="32"/>
        <v>0</v>
      </c>
      <c r="M55" s="68">
        <f t="shared" si="32"/>
        <v>0</v>
      </c>
      <c r="N55" s="68">
        <f t="shared" si="32"/>
        <v>0</v>
      </c>
      <c r="O55" s="293">
        <f>SUM(C55:N55)</f>
        <v>0</v>
      </c>
      <c r="P55" s="71">
        <v>42</v>
      </c>
      <c r="S55" s="66">
        <v>18</v>
      </c>
    </row>
    <row r="56" spans="1:19" ht="18.75" customHeight="1" x14ac:dyDescent="0.3">
      <c r="A56" s="431"/>
      <c r="B56" s="250" t="s">
        <v>87</v>
      </c>
      <c r="C56" s="251">
        <f>C55</f>
        <v>0</v>
      </c>
      <c r="D56" s="251">
        <f>C56+D55</f>
        <v>0</v>
      </c>
      <c r="E56" s="251">
        <f t="shared" si="32"/>
        <v>0</v>
      </c>
      <c r="F56" s="251">
        <f>E56+F55</f>
        <v>0</v>
      </c>
      <c r="G56" s="251">
        <f t="shared" si="32"/>
        <v>0</v>
      </c>
      <c r="H56" s="251">
        <f t="shared" si="32"/>
        <v>0</v>
      </c>
      <c r="I56" s="251">
        <f t="shared" si="32"/>
        <v>0</v>
      </c>
      <c r="J56" s="251">
        <f t="shared" si="32"/>
        <v>0</v>
      </c>
      <c r="K56" s="251">
        <f t="shared" si="32"/>
        <v>0</v>
      </c>
      <c r="L56" s="251">
        <f t="shared" si="32"/>
        <v>0</v>
      </c>
      <c r="M56" s="251">
        <f t="shared" si="32"/>
        <v>0</v>
      </c>
      <c r="N56" s="251">
        <f t="shared" si="32"/>
        <v>0</v>
      </c>
      <c r="O56" s="252" t="b">
        <f>EXACT(O55,N56)</f>
        <v>1</v>
      </c>
      <c r="P56" s="71">
        <v>43</v>
      </c>
      <c r="S56" s="66">
        <v>19</v>
      </c>
    </row>
    <row r="57" spans="1:19" ht="18.75" customHeight="1" x14ac:dyDescent="0.3">
      <c r="A57" s="429" t="s">
        <v>241</v>
      </c>
      <c r="B57" s="235"/>
      <c r="C57" s="278">
        <v>0</v>
      </c>
      <c r="D57" s="278">
        <v>0</v>
      </c>
      <c r="E57" s="278"/>
      <c r="F57" s="278"/>
      <c r="G57" s="278"/>
      <c r="H57" s="278"/>
      <c r="I57" s="278">
        <v>0</v>
      </c>
      <c r="J57" s="278"/>
      <c r="K57" s="278"/>
      <c r="L57" s="278"/>
      <c r="M57" s="278"/>
      <c r="N57" s="278"/>
      <c r="O57" s="67">
        <f>SUM(C57:N57)</f>
        <v>0</v>
      </c>
      <c r="P57" s="71">
        <v>44</v>
      </c>
      <c r="S57" s="66">
        <v>20</v>
      </c>
    </row>
    <row r="58" spans="1:19" ht="18.75" customHeight="1" x14ac:dyDescent="0.3">
      <c r="A58" s="430"/>
      <c r="B58" s="84" t="s">
        <v>86</v>
      </c>
      <c r="C58" s="68">
        <f>C57</f>
        <v>0</v>
      </c>
      <c r="D58" s="68">
        <f>C58+D57</f>
        <v>0</v>
      </c>
      <c r="E58" s="68">
        <f t="shared" ref="E58:N59" si="33">D58+E57</f>
        <v>0</v>
      </c>
      <c r="F58" s="68">
        <f t="shared" si="33"/>
        <v>0</v>
      </c>
      <c r="G58" s="68">
        <f t="shared" si="33"/>
        <v>0</v>
      </c>
      <c r="H58" s="68">
        <f t="shared" si="33"/>
        <v>0</v>
      </c>
      <c r="I58" s="68">
        <f t="shared" si="33"/>
        <v>0</v>
      </c>
      <c r="J58" s="68">
        <f t="shared" si="33"/>
        <v>0</v>
      </c>
      <c r="K58" s="68">
        <f t="shared" si="33"/>
        <v>0</v>
      </c>
      <c r="L58" s="68">
        <f t="shared" si="33"/>
        <v>0</v>
      </c>
      <c r="M58" s="68">
        <f t="shared" si="33"/>
        <v>0</v>
      </c>
      <c r="N58" s="68">
        <f t="shared" si="33"/>
        <v>0</v>
      </c>
      <c r="O58" s="293">
        <f>SUM(C58:N58)</f>
        <v>0</v>
      </c>
      <c r="P58" s="71">
        <v>45</v>
      </c>
      <c r="S58" s="66">
        <v>21</v>
      </c>
    </row>
    <row r="59" spans="1:19" ht="18.75" customHeight="1" x14ac:dyDescent="0.3">
      <c r="A59" s="431"/>
      <c r="B59" s="250" t="s">
        <v>87</v>
      </c>
      <c r="C59" s="251">
        <f>C58</f>
        <v>0</v>
      </c>
      <c r="D59" s="251">
        <f>C59+D58</f>
        <v>0</v>
      </c>
      <c r="E59" s="251">
        <f t="shared" si="33"/>
        <v>0</v>
      </c>
      <c r="F59" s="251">
        <f>E59+F58</f>
        <v>0</v>
      </c>
      <c r="G59" s="251">
        <f t="shared" si="33"/>
        <v>0</v>
      </c>
      <c r="H59" s="251">
        <f t="shared" si="33"/>
        <v>0</v>
      </c>
      <c r="I59" s="251">
        <f t="shared" si="33"/>
        <v>0</v>
      </c>
      <c r="J59" s="251">
        <f t="shared" si="33"/>
        <v>0</v>
      </c>
      <c r="K59" s="251">
        <f t="shared" si="33"/>
        <v>0</v>
      </c>
      <c r="L59" s="251">
        <f t="shared" si="33"/>
        <v>0</v>
      </c>
      <c r="M59" s="251">
        <f t="shared" si="33"/>
        <v>0</v>
      </c>
      <c r="N59" s="251">
        <f t="shared" si="33"/>
        <v>0</v>
      </c>
      <c r="O59" s="252" t="b">
        <f>EXACT(O58,N59)</f>
        <v>1</v>
      </c>
      <c r="P59" s="71">
        <v>46</v>
      </c>
      <c r="S59" s="66">
        <v>22</v>
      </c>
    </row>
    <row r="60" spans="1:19" ht="18.75" customHeight="1" x14ac:dyDescent="0.3">
      <c r="A60" s="429" t="s">
        <v>242</v>
      </c>
      <c r="B60" s="235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>
        <f>SUM(C60:N60)</f>
        <v>0</v>
      </c>
      <c r="P60" s="71">
        <v>47</v>
      </c>
      <c r="S60" s="66">
        <v>23</v>
      </c>
    </row>
    <row r="61" spans="1:19" ht="18.75" customHeight="1" x14ac:dyDescent="0.3">
      <c r="A61" s="430"/>
      <c r="B61" s="84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293">
        <f>SUM(C61:N61)</f>
        <v>0</v>
      </c>
      <c r="P61" s="71">
        <v>48</v>
      </c>
      <c r="S61" s="66">
        <v>24</v>
      </c>
    </row>
    <row r="62" spans="1:19" ht="18.75" customHeight="1" thickBot="1" x14ac:dyDescent="0.35">
      <c r="A62" s="430"/>
      <c r="B62" s="253" t="s">
        <v>87</v>
      </c>
      <c r="C62" s="254">
        <f t="shared" ref="C62:N62" si="34">ROUND(C100,0)</f>
        <v>0</v>
      </c>
      <c r="D62" s="254">
        <f t="shared" si="34"/>
        <v>0</v>
      </c>
      <c r="E62" s="254">
        <f t="shared" si="34"/>
        <v>0</v>
      </c>
      <c r="F62" s="254">
        <f t="shared" si="34"/>
        <v>0</v>
      </c>
      <c r="G62" s="254">
        <f t="shared" si="34"/>
        <v>0</v>
      </c>
      <c r="H62" s="254">
        <f t="shared" si="34"/>
        <v>0</v>
      </c>
      <c r="I62" s="254">
        <f t="shared" si="34"/>
        <v>0</v>
      </c>
      <c r="J62" s="254">
        <f t="shared" si="34"/>
        <v>0</v>
      </c>
      <c r="K62" s="254">
        <f t="shared" si="34"/>
        <v>0</v>
      </c>
      <c r="L62" s="254">
        <f t="shared" si="34"/>
        <v>0</v>
      </c>
      <c r="M62" s="254">
        <f t="shared" si="34"/>
        <v>0</v>
      </c>
      <c r="N62" s="254">
        <f t="shared" si="34"/>
        <v>0</v>
      </c>
      <c r="O62" s="255"/>
      <c r="P62" s="71">
        <v>49</v>
      </c>
      <c r="S62" s="66">
        <v>25</v>
      </c>
    </row>
    <row r="63" spans="1:19" ht="18.75" customHeight="1" x14ac:dyDescent="0.3">
      <c r="A63" s="432" t="s">
        <v>243</v>
      </c>
      <c r="B63" s="256"/>
      <c r="C63" s="236">
        <f>C39+C42+C48+C51+C54+C57</f>
        <v>0</v>
      </c>
      <c r="D63" s="236">
        <f t="shared" ref="D63:N63" si="35">D39+D42+D48+D51+D54+D57</f>
        <v>0</v>
      </c>
      <c r="E63" s="236">
        <f t="shared" si="35"/>
        <v>0</v>
      </c>
      <c r="F63" s="236">
        <f t="shared" si="35"/>
        <v>0</v>
      </c>
      <c r="G63" s="236">
        <f t="shared" si="35"/>
        <v>0</v>
      </c>
      <c r="H63" s="236">
        <f t="shared" si="35"/>
        <v>0</v>
      </c>
      <c r="I63" s="236">
        <f t="shared" si="35"/>
        <v>0</v>
      </c>
      <c r="J63" s="236">
        <f t="shared" si="35"/>
        <v>0</v>
      </c>
      <c r="K63" s="236">
        <f t="shared" si="35"/>
        <v>0</v>
      </c>
      <c r="L63" s="236">
        <f t="shared" si="35"/>
        <v>0</v>
      </c>
      <c r="M63" s="236">
        <f t="shared" si="35"/>
        <v>0</v>
      </c>
      <c r="N63" s="236">
        <f t="shared" si="35"/>
        <v>0</v>
      </c>
      <c r="O63" s="237">
        <f>SUM(C63:N63)</f>
        <v>0</v>
      </c>
      <c r="P63" s="71">
        <v>50</v>
      </c>
      <c r="S63" s="66">
        <v>26</v>
      </c>
    </row>
    <row r="64" spans="1:19" ht="18.75" customHeight="1" x14ac:dyDescent="0.3">
      <c r="A64" s="433"/>
      <c r="B64" s="84" t="s">
        <v>86</v>
      </c>
      <c r="C64" s="68">
        <f>C40+C43+C49+C52+C55+C58</f>
        <v>0</v>
      </c>
      <c r="D64" s="68">
        <f t="shared" ref="D64:N64" si="36">D40+D43+D49+D52+D55+D58</f>
        <v>0</v>
      </c>
      <c r="E64" s="68">
        <f t="shared" si="36"/>
        <v>0</v>
      </c>
      <c r="F64" s="68">
        <f t="shared" si="36"/>
        <v>0</v>
      </c>
      <c r="G64" s="68">
        <f t="shared" si="36"/>
        <v>0</v>
      </c>
      <c r="H64" s="68">
        <f t="shared" si="36"/>
        <v>0</v>
      </c>
      <c r="I64" s="68">
        <f t="shared" si="36"/>
        <v>0</v>
      </c>
      <c r="J64" s="68">
        <f t="shared" si="36"/>
        <v>0</v>
      </c>
      <c r="K64" s="68">
        <f t="shared" si="36"/>
        <v>0</v>
      </c>
      <c r="L64" s="68">
        <f t="shared" si="36"/>
        <v>0</v>
      </c>
      <c r="M64" s="68">
        <f t="shared" si="36"/>
        <v>0</v>
      </c>
      <c r="N64" s="68">
        <f t="shared" si="36"/>
        <v>0</v>
      </c>
      <c r="O64" s="294">
        <f>SUM(C64:N64)</f>
        <v>0</v>
      </c>
      <c r="P64" s="71">
        <v>51</v>
      </c>
      <c r="S64" s="66">
        <v>27</v>
      </c>
    </row>
    <row r="65" spans="1:19" ht="18.75" customHeight="1" thickBot="1" x14ac:dyDescent="0.35">
      <c r="A65" s="434"/>
      <c r="B65" s="257" t="s">
        <v>87</v>
      </c>
      <c r="C65" s="258">
        <f>C47+C50+C53+C56+C59</f>
        <v>0</v>
      </c>
      <c r="D65" s="258">
        <f t="shared" ref="D65:N65" si="37">D47+D50+D53+D56+D59</f>
        <v>0</v>
      </c>
      <c r="E65" s="258">
        <f t="shared" si="37"/>
        <v>0</v>
      </c>
      <c r="F65" s="258">
        <f t="shared" si="37"/>
        <v>0</v>
      </c>
      <c r="G65" s="258">
        <f t="shared" si="37"/>
        <v>0</v>
      </c>
      <c r="H65" s="258">
        <f t="shared" si="37"/>
        <v>0</v>
      </c>
      <c r="I65" s="258">
        <f t="shared" si="37"/>
        <v>0</v>
      </c>
      <c r="J65" s="258">
        <f t="shared" si="37"/>
        <v>0</v>
      </c>
      <c r="K65" s="258">
        <f t="shared" si="37"/>
        <v>0</v>
      </c>
      <c r="L65" s="258">
        <f t="shared" si="37"/>
        <v>0</v>
      </c>
      <c r="M65" s="258">
        <f t="shared" si="37"/>
        <v>0</v>
      </c>
      <c r="N65" s="258">
        <f t="shared" si="37"/>
        <v>0</v>
      </c>
      <c r="O65" s="259" t="b">
        <f>EXACT(O64,N65)</f>
        <v>1</v>
      </c>
      <c r="P65" s="71">
        <v>52</v>
      </c>
      <c r="Q65" s="344" t="s">
        <v>314</v>
      </c>
      <c r="S65" s="66">
        <v>28</v>
      </c>
    </row>
    <row r="66" spans="1:19" ht="18.75" customHeight="1" x14ac:dyDescent="0.3">
      <c r="A66" s="72"/>
      <c r="P66" s="71">
        <v>53</v>
      </c>
    </row>
    <row r="67" spans="1:19" s="41" customFormat="1" ht="28.5" customHeight="1" x14ac:dyDescent="0.3">
      <c r="A67" s="83" t="s">
        <v>252</v>
      </c>
      <c r="P67" s="71">
        <v>54</v>
      </c>
    </row>
    <row r="68" spans="1:19" ht="29.25" customHeight="1" x14ac:dyDescent="0.3">
      <c r="A68" s="427" t="s">
        <v>73</v>
      </c>
      <c r="B68" s="428"/>
      <c r="C68" s="85">
        <v>1</v>
      </c>
      <c r="D68" s="85">
        <v>2</v>
      </c>
      <c r="E68" s="85">
        <v>3</v>
      </c>
      <c r="F68" s="85">
        <v>4</v>
      </c>
      <c r="G68" s="85">
        <v>5</v>
      </c>
      <c r="H68" s="85">
        <v>6</v>
      </c>
      <c r="I68" s="85">
        <v>7</v>
      </c>
      <c r="J68" s="85">
        <v>8</v>
      </c>
      <c r="K68" s="85">
        <v>9</v>
      </c>
      <c r="L68" s="85">
        <v>10</v>
      </c>
      <c r="M68" s="85">
        <v>11</v>
      </c>
      <c r="N68" s="85">
        <v>12</v>
      </c>
      <c r="O68" s="85" t="s">
        <v>74</v>
      </c>
      <c r="P68" s="71">
        <v>55</v>
      </c>
      <c r="S68" s="66">
        <v>1</v>
      </c>
    </row>
    <row r="69" spans="1:19" ht="18.75" customHeight="1" x14ac:dyDescent="0.3">
      <c r="A69" s="429" t="s">
        <v>238</v>
      </c>
      <c r="B69" s="235"/>
      <c r="C69" s="281">
        <f t="shared" ref="C69:N69" si="38">IFERROR(ROUND(C39*C35,0),0)</f>
        <v>0</v>
      </c>
      <c r="D69" s="281">
        <f t="shared" si="38"/>
        <v>0</v>
      </c>
      <c r="E69" s="281">
        <f t="shared" si="38"/>
        <v>0</v>
      </c>
      <c r="F69" s="281">
        <f t="shared" si="38"/>
        <v>0</v>
      </c>
      <c r="G69" s="281">
        <f t="shared" si="38"/>
        <v>0</v>
      </c>
      <c r="H69" s="281">
        <f>IFERROR(ROUND(H39*H35,0),0)</f>
        <v>0</v>
      </c>
      <c r="I69" s="281">
        <f t="shared" si="38"/>
        <v>0</v>
      </c>
      <c r="J69" s="281">
        <f t="shared" si="38"/>
        <v>0</v>
      </c>
      <c r="K69" s="281">
        <f t="shared" si="38"/>
        <v>0</v>
      </c>
      <c r="L69" s="281">
        <f t="shared" si="38"/>
        <v>0</v>
      </c>
      <c r="M69" s="281">
        <f t="shared" si="38"/>
        <v>0</v>
      </c>
      <c r="N69" s="281">
        <f t="shared" si="38"/>
        <v>0</v>
      </c>
      <c r="O69" s="67">
        <f>SUM(C69:N69)</f>
        <v>0</v>
      </c>
      <c r="P69" s="71">
        <v>56</v>
      </c>
      <c r="S69" s="66">
        <v>2</v>
      </c>
    </row>
    <row r="70" spans="1:19" ht="18.75" customHeight="1" thickBot="1" x14ac:dyDescent="0.35">
      <c r="A70" s="430"/>
      <c r="B70" s="84" t="s">
        <v>86</v>
      </c>
      <c r="C70" s="68">
        <f>C69</f>
        <v>0</v>
      </c>
      <c r="D70" s="68">
        <f>C70+D69</f>
        <v>0</v>
      </c>
      <c r="E70" s="68">
        <f t="shared" ref="E70:N71" si="39">D70+E69</f>
        <v>0</v>
      </c>
      <c r="F70" s="68">
        <f t="shared" si="39"/>
        <v>0</v>
      </c>
      <c r="G70" s="68">
        <f t="shared" si="39"/>
        <v>0</v>
      </c>
      <c r="H70" s="68">
        <f t="shared" si="39"/>
        <v>0</v>
      </c>
      <c r="I70" s="68">
        <f t="shared" si="39"/>
        <v>0</v>
      </c>
      <c r="J70" s="68">
        <f t="shared" si="39"/>
        <v>0</v>
      </c>
      <c r="K70" s="68">
        <f t="shared" si="39"/>
        <v>0</v>
      </c>
      <c r="L70" s="68">
        <f t="shared" si="39"/>
        <v>0</v>
      </c>
      <c r="M70" s="68">
        <f t="shared" si="39"/>
        <v>0</v>
      </c>
      <c r="N70" s="68">
        <f t="shared" si="39"/>
        <v>0</v>
      </c>
      <c r="O70" s="69">
        <f>SUM(C70:N70)</f>
        <v>0</v>
      </c>
      <c r="P70" s="71">
        <v>57</v>
      </c>
      <c r="S70" s="66">
        <v>3</v>
      </c>
    </row>
    <row r="71" spans="1:19" ht="18.75" customHeight="1" thickBot="1" x14ac:dyDescent="0.35">
      <c r="A71" s="431"/>
      <c r="B71" s="250" t="s">
        <v>87</v>
      </c>
      <c r="C71" s="251">
        <f>C70</f>
        <v>0</v>
      </c>
      <c r="D71" s="251">
        <f>C71+D70</f>
        <v>0</v>
      </c>
      <c r="E71" s="251">
        <f t="shared" si="39"/>
        <v>0</v>
      </c>
      <c r="F71" s="251">
        <f>E71+F70</f>
        <v>0</v>
      </c>
      <c r="G71" s="251">
        <f t="shared" si="39"/>
        <v>0</v>
      </c>
      <c r="H71" s="251">
        <f t="shared" si="39"/>
        <v>0</v>
      </c>
      <c r="I71" s="251">
        <f t="shared" si="39"/>
        <v>0</v>
      </c>
      <c r="J71" s="251">
        <f t="shared" si="39"/>
        <v>0</v>
      </c>
      <c r="K71" s="251">
        <f t="shared" si="39"/>
        <v>0</v>
      </c>
      <c r="L71" s="251">
        <f t="shared" si="39"/>
        <v>0</v>
      </c>
      <c r="M71" s="251">
        <f t="shared" si="39"/>
        <v>0</v>
      </c>
      <c r="N71" s="251">
        <f t="shared" si="39"/>
        <v>0</v>
      </c>
      <c r="O71" s="252" t="b">
        <f>EXACT(O70,N71)</f>
        <v>1</v>
      </c>
      <c r="P71" s="71">
        <v>58</v>
      </c>
      <c r="Q71" s="88">
        <f>ROUND(N71/1000,0)</f>
        <v>0</v>
      </c>
      <c r="S71" s="66">
        <v>4</v>
      </c>
    </row>
    <row r="72" spans="1:19" ht="18.75" customHeight="1" x14ac:dyDescent="0.3">
      <c r="A72" s="429" t="s">
        <v>253</v>
      </c>
      <c r="B72" s="235"/>
      <c r="C72" s="281">
        <f t="shared" ref="C72:N72" si="40">IFERROR(ROUND(C35*C42,0),0)</f>
        <v>0</v>
      </c>
      <c r="D72" s="281">
        <f t="shared" si="40"/>
        <v>0</v>
      </c>
      <c r="E72" s="281">
        <f t="shared" si="40"/>
        <v>0</v>
      </c>
      <c r="F72" s="281">
        <f t="shared" si="40"/>
        <v>0</v>
      </c>
      <c r="G72" s="281">
        <f t="shared" si="40"/>
        <v>0</v>
      </c>
      <c r="H72" s="281">
        <f t="shared" si="40"/>
        <v>0</v>
      </c>
      <c r="I72" s="281">
        <f t="shared" si="40"/>
        <v>0</v>
      </c>
      <c r="J72" s="281">
        <f t="shared" si="40"/>
        <v>0</v>
      </c>
      <c r="K72" s="281">
        <f t="shared" si="40"/>
        <v>0</v>
      </c>
      <c r="L72" s="281">
        <f t="shared" si="40"/>
        <v>0</v>
      </c>
      <c r="M72" s="281">
        <f t="shared" si="40"/>
        <v>0</v>
      </c>
      <c r="N72" s="281">
        <f t="shared" si="40"/>
        <v>0</v>
      </c>
      <c r="O72" s="67">
        <f>SUM(C72:N72)</f>
        <v>0</v>
      </c>
      <c r="P72" s="71">
        <v>59</v>
      </c>
      <c r="S72" s="66">
        <v>5</v>
      </c>
    </row>
    <row r="73" spans="1:19" ht="18.75" customHeight="1" thickBot="1" x14ac:dyDescent="0.35">
      <c r="A73" s="430"/>
      <c r="B73" s="84" t="s">
        <v>86</v>
      </c>
      <c r="C73" s="68">
        <f>C72</f>
        <v>0</v>
      </c>
      <c r="D73" s="68">
        <f>C73+D72</f>
        <v>0</v>
      </c>
      <c r="E73" s="68">
        <f t="shared" ref="E73:N74" si="41">D73+E72</f>
        <v>0</v>
      </c>
      <c r="F73" s="68">
        <f t="shared" si="41"/>
        <v>0</v>
      </c>
      <c r="G73" s="68">
        <f t="shared" si="41"/>
        <v>0</v>
      </c>
      <c r="H73" s="68">
        <f t="shared" si="41"/>
        <v>0</v>
      </c>
      <c r="I73" s="68">
        <f t="shared" si="41"/>
        <v>0</v>
      </c>
      <c r="J73" s="68">
        <f t="shared" si="41"/>
        <v>0</v>
      </c>
      <c r="K73" s="68">
        <f t="shared" si="41"/>
        <v>0</v>
      </c>
      <c r="L73" s="68">
        <f t="shared" si="41"/>
        <v>0</v>
      </c>
      <c r="M73" s="68">
        <f t="shared" si="41"/>
        <v>0</v>
      </c>
      <c r="N73" s="68">
        <f t="shared" si="41"/>
        <v>0</v>
      </c>
      <c r="O73" s="69">
        <f>SUM(C73:N73)</f>
        <v>0</v>
      </c>
      <c r="P73" s="71">
        <v>60</v>
      </c>
      <c r="S73" s="66">
        <v>6</v>
      </c>
    </row>
    <row r="74" spans="1:19" ht="18.75" customHeight="1" thickBot="1" x14ac:dyDescent="0.35">
      <c r="A74" s="430"/>
      <c r="B74" s="253" t="s">
        <v>87</v>
      </c>
      <c r="C74" s="254">
        <f>C73</f>
        <v>0</v>
      </c>
      <c r="D74" s="254">
        <f>C74+D73</f>
        <v>0</v>
      </c>
      <c r="E74" s="254">
        <f t="shared" si="41"/>
        <v>0</v>
      </c>
      <c r="F74" s="254">
        <f>E74+F73</f>
        <v>0</v>
      </c>
      <c r="G74" s="254">
        <f t="shared" si="41"/>
        <v>0</v>
      </c>
      <c r="H74" s="254">
        <f t="shared" si="41"/>
        <v>0</v>
      </c>
      <c r="I74" s="254">
        <f t="shared" si="41"/>
        <v>0</v>
      </c>
      <c r="J74" s="254">
        <f t="shared" si="41"/>
        <v>0</v>
      </c>
      <c r="K74" s="254">
        <f t="shared" si="41"/>
        <v>0</v>
      </c>
      <c r="L74" s="254">
        <f t="shared" si="41"/>
        <v>0</v>
      </c>
      <c r="M74" s="254">
        <f t="shared" si="41"/>
        <v>0</v>
      </c>
      <c r="N74" s="254">
        <f t="shared" si="41"/>
        <v>0</v>
      </c>
      <c r="O74" s="255" t="b">
        <f>EXACT(O73,N74)</f>
        <v>1</v>
      </c>
      <c r="P74" s="71">
        <v>61</v>
      </c>
      <c r="Q74" s="88">
        <f>ROUND(N74/1000,0)</f>
        <v>0</v>
      </c>
      <c r="S74" s="66">
        <v>7</v>
      </c>
    </row>
    <row r="75" spans="1:19" ht="18.75" customHeight="1" x14ac:dyDescent="0.3">
      <c r="A75" s="432" t="s">
        <v>239</v>
      </c>
      <c r="B75" s="256"/>
      <c r="C75" s="236">
        <f t="shared" ref="C75:N75" si="42">C69+C72</f>
        <v>0</v>
      </c>
      <c r="D75" s="236">
        <f t="shared" si="42"/>
        <v>0</v>
      </c>
      <c r="E75" s="236">
        <f t="shared" si="42"/>
        <v>0</v>
      </c>
      <c r="F75" s="236">
        <f t="shared" si="42"/>
        <v>0</v>
      </c>
      <c r="G75" s="236">
        <f t="shared" si="42"/>
        <v>0</v>
      </c>
      <c r="H75" s="236">
        <f t="shared" si="42"/>
        <v>0</v>
      </c>
      <c r="I75" s="236">
        <f t="shared" si="42"/>
        <v>0</v>
      </c>
      <c r="J75" s="236">
        <f t="shared" si="42"/>
        <v>0</v>
      </c>
      <c r="K75" s="236">
        <f t="shared" si="42"/>
        <v>0</v>
      </c>
      <c r="L75" s="236">
        <f t="shared" si="42"/>
        <v>0</v>
      </c>
      <c r="M75" s="236">
        <f t="shared" si="42"/>
        <v>0</v>
      </c>
      <c r="N75" s="236">
        <f t="shared" si="42"/>
        <v>0</v>
      </c>
      <c r="O75" s="237">
        <f>SUM(C75:N75)</f>
        <v>0</v>
      </c>
      <c r="P75" s="71">
        <v>62</v>
      </c>
      <c r="S75" s="66">
        <v>8</v>
      </c>
    </row>
    <row r="76" spans="1:19" ht="18.75" customHeight="1" thickBot="1" x14ac:dyDescent="0.35">
      <c r="A76" s="433"/>
      <c r="B76" s="84" t="s">
        <v>86</v>
      </c>
      <c r="C76" s="68">
        <f>C75</f>
        <v>0</v>
      </c>
      <c r="D76" s="68">
        <f>C76+D75</f>
        <v>0</v>
      </c>
      <c r="E76" s="68">
        <f t="shared" ref="E76:N77" si="43">D76+E75</f>
        <v>0</v>
      </c>
      <c r="F76" s="68">
        <f t="shared" si="43"/>
        <v>0</v>
      </c>
      <c r="G76" s="68">
        <f t="shared" si="43"/>
        <v>0</v>
      </c>
      <c r="H76" s="68">
        <f t="shared" si="43"/>
        <v>0</v>
      </c>
      <c r="I76" s="68">
        <f t="shared" si="43"/>
        <v>0</v>
      </c>
      <c r="J76" s="68">
        <f t="shared" si="43"/>
        <v>0</v>
      </c>
      <c r="K76" s="68">
        <f t="shared" si="43"/>
        <v>0</v>
      </c>
      <c r="L76" s="68">
        <f t="shared" si="43"/>
        <v>0</v>
      </c>
      <c r="M76" s="68">
        <f t="shared" si="43"/>
        <v>0</v>
      </c>
      <c r="N76" s="68">
        <f t="shared" si="43"/>
        <v>0</v>
      </c>
      <c r="O76" s="238">
        <f>SUM(C76:N76)</f>
        <v>0</v>
      </c>
      <c r="P76" s="71">
        <v>63</v>
      </c>
      <c r="S76" s="66">
        <v>9</v>
      </c>
    </row>
    <row r="77" spans="1:19" ht="18.75" customHeight="1" thickBot="1" x14ac:dyDescent="0.35">
      <c r="A77" s="434"/>
      <c r="B77" s="257" t="s">
        <v>87</v>
      </c>
      <c r="C77" s="258">
        <f>C76</f>
        <v>0</v>
      </c>
      <c r="D77" s="258">
        <f>C77+D76</f>
        <v>0</v>
      </c>
      <c r="E77" s="258">
        <f t="shared" si="43"/>
        <v>0</v>
      </c>
      <c r="F77" s="258">
        <f>E77+F76</f>
        <v>0</v>
      </c>
      <c r="G77" s="258">
        <f t="shared" si="43"/>
        <v>0</v>
      </c>
      <c r="H77" s="258">
        <f t="shared" si="43"/>
        <v>0</v>
      </c>
      <c r="I77" s="258">
        <f t="shared" si="43"/>
        <v>0</v>
      </c>
      <c r="J77" s="258">
        <f t="shared" si="43"/>
        <v>0</v>
      </c>
      <c r="K77" s="258">
        <f t="shared" si="43"/>
        <v>0</v>
      </c>
      <c r="L77" s="258">
        <f t="shared" si="43"/>
        <v>0</v>
      </c>
      <c r="M77" s="258">
        <f t="shared" si="43"/>
        <v>0</v>
      </c>
      <c r="N77" s="258">
        <f t="shared" si="43"/>
        <v>0</v>
      </c>
      <c r="O77" s="259" t="b">
        <f>N77=(N71+N74)</f>
        <v>1</v>
      </c>
      <c r="P77" s="71">
        <v>64</v>
      </c>
      <c r="Q77" s="88">
        <f>Q71+Q74</f>
        <v>0</v>
      </c>
      <c r="S77" s="66">
        <v>10</v>
      </c>
    </row>
    <row r="78" spans="1:19" ht="18.75" customHeight="1" x14ac:dyDescent="0.3">
      <c r="A78" s="429" t="s">
        <v>88</v>
      </c>
      <c r="B78" s="235"/>
      <c r="C78" s="281">
        <f t="shared" ref="C78:N78" si="44">IFERROR(ROUND(C35*C48,0),0)</f>
        <v>0</v>
      </c>
      <c r="D78" s="281">
        <f t="shared" si="44"/>
        <v>0</v>
      </c>
      <c r="E78" s="281">
        <f t="shared" si="44"/>
        <v>0</v>
      </c>
      <c r="F78" s="281">
        <f t="shared" si="44"/>
        <v>0</v>
      </c>
      <c r="G78" s="281">
        <f t="shared" si="44"/>
        <v>0</v>
      </c>
      <c r="H78" s="281">
        <f t="shared" si="44"/>
        <v>0</v>
      </c>
      <c r="I78" s="281">
        <f t="shared" si="44"/>
        <v>0</v>
      </c>
      <c r="J78" s="281">
        <f t="shared" si="44"/>
        <v>0</v>
      </c>
      <c r="K78" s="281">
        <f t="shared" si="44"/>
        <v>0</v>
      </c>
      <c r="L78" s="281">
        <f t="shared" si="44"/>
        <v>0</v>
      </c>
      <c r="M78" s="281">
        <f t="shared" si="44"/>
        <v>0</v>
      </c>
      <c r="N78" s="281">
        <f t="shared" si="44"/>
        <v>0</v>
      </c>
      <c r="O78" s="67">
        <f>SUM(C78:N78)</f>
        <v>0</v>
      </c>
      <c r="P78" s="71">
        <v>65</v>
      </c>
      <c r="S78" s="66">
        <v>11</v>
      </c>
    </row>
    <row r="79" spans="1:19" ht="18.75" customHeight="1" thickBot="1" x14ac:dyDescent="0.35">
      <c r="A79" s="430"/>
      <c r="B79" s="84" t="s">
        <v>86</v>
      </c>
      <c r="C79" s="68">
        <f>C78</f>
        <v>0</v>
      </c>
      <c r="D79" s="68">
        <f>C79+D78</f>
        <v>0</v>
      </c>
      <c r="E79" s="68">
        <f t="shared" ref="E79:N80" si="45">D79+E78</f>
        <v>0</v>
      </c>
      <c r="F79" s="68">
        <f t="shared" si="45"/>
        <v>0</v>
      </c>
      <c r="G79" s="68">
        <f t="shared" si="45"/>
        <v>0</v>
      </c>
      <c r="H79" s="68">
        <f t="shared" si="45"/>
        <v>0</v>
      </c>
      <c r="I79" s="68">
        <f t="shared" si="45"/>
        <v>0</v>
      </c>
      <c r="J79" s="68">
        <f t="shared" si="45"/>
        <v>0</v>
      </c>
      <c r="K79" s="68">
        <f t="shared" si="45"/>
        <v>0</v>
      </c>
      <c r="L79" s="68">
        <f t="shared" si="45"/>
        <v>0</v>
      </c>
      <c r="M79" s="68">
        <f t="shared" si="45"/>
        <v>0</v>
      </c>
      <c r="N79" s="68">
        <f t="shared" si="45"/>
        <v>0</v>
      </c>
      <c r="O79" s="69">
        <f>SUM(C79:N79)</f>
        <v>0</v>
      </c>
      <c r="P79" s="71">
        <v>66</v>
      </c>
      <c r="S79" s="66">
        <v>12</v>
      </c>
    </row>
    <row r="80" spans="1:19" ht="18.75" customHeight="1" thickBot="1" x14ac:dyDescent="0.35">
      <c r="A80" s="431"/>
      <c r="B80" s="250" t="s">
        <v>87</v>
      </c>
      <c r="C80" s="251">
        <f>C79</f>
        <v>0</v>
      </c>
      <c r="D80" s="251">
        <f>C80+D79</f>
        <v>0</v>
      </c>
      <c r="E80" s="251">
        <f t="shared" si="45"/>
        <v>0</v>
      </c>
      <c r="F80" s="251">
        <f>E80+F79</f>
        <v>0</v>
      </c>
      <c r="G80" s="251">
        <f t="shared" si="45"/>
        <v>0</v>
      </c>
      <c r="H80" s="251">
        <f t="shared" si="45"/>
        <v>0</v>
      </c>
      <c r="I80" s="251">
        <f t="shared" si="45"/>
        <v>0</v>
      </c>
      <c r="J80" s="251">
        <f t="shared" si="45"/>
        <v>0</v>
      </c>
      <c r="K80" s="251">
        <f t="shared" si="45"/>
        <v>0</v>
      </c>
      <c r="L80" s="251">
        <f t="shared" si="45"/>
        <v>0</v>
      </c>
      <c r="M80" s="251">
        <f t="shared" si="45"/>
        <v>0</v>
      </c>
      <c r="N80" s="251">
        <f t="shared" si="45"/>
        <v>0</v>
      </c>
      <c r="O80" s="252" t="b">
        <f>EXACT(O79,N80)</f>
        <v>1</v>
      </c>
      <c r="P80" s="71">
        <v>67</v>
      </c>
      <c r="Q80" s="88">
        <f>ROUND(N80/1000,0)</f>
        <v>0</v>
      </c>
      <c r="S80" s="66">
        <v>13</v>
      </c>
    </row>
    <row r="81" spans="1:19" ht="18.75" customHeight="1" x14ac:dyDescent="0.3">
      <c r="A81" s="429" t="s">
        <v>240</v>
      </c>
      <c r="B81" s="235"/>
      <c r="C81" s="281">
        <f t="shared" ref="C81:N81" si="46">IFERROR(ROUND(C35*C51,0),0)</f>
        <v>0</v>
      </c>
      <c r="D81" s="281">
        <f t="shared" si="46"/>
        <v>0</v>
      </c>
      <c r="E81" s="281">
        <f t="shared" si="46"/>
        <v>0</v>
      </c>
      <c r="F81" s="281">
        <f t="shared" si="46"/>
        <v>0</v>
      </c>
      <c r="G81" s="281">
        <f t="shared" si="46"/>
        <v>0</v>
      </c>
      <c r="H81" s="281">
        <f t="shared" si="46"/>
        <v>0</v>
      </c>
      <c r="I81" s="281">
        <f t="shared" si="46"/>
        <v>0</v>
      </c>
      <c r="J81" s="281">
        <f t="shared" si="46"/>
        <v>0</v>
      </c>
      <c r="K81" s="281">
        <f t="shared" si="46"/>
        <v>0</v>
      </c>
      <c r="L81" s="281">
        <f t="shared" si="46"/>
        <v>0</v>
      </c>
      <c r="M81" s="281">
        <f t="shared" si="46"/>
        <v>0</v>
      </c>
      <c r="N81" s="281">
        <f t="shared" si="46"/>
        <v>0</v>
      </c>
      <c r="O81" s="67">
        <f>SUM(C81:N81)</f>
        <v>0</v>
      </c>
      <c r="P81" s="71">
        <v>68</v>
      </c>
      <c r="S81" s="66">
        <v>14</v>
      </c>
    </row>
    <row r="82" spans="1:19" ht="18.75" customHeight="1" thickBot="1" x14ac:dyDescent="0.35">
      <c r="A82" s="430"/>
      <c r="B82" s="84" t="s">
        <v>86</v>
      </c>
      <c r="C82" s="68">
        <f>C81</f>
        <v>0</v>
      </c>
      <c r="D82" s="68">
        <f>IFERROR(ROUND(D35*SUM(C51),0),0)+D81</f>
        <v>0</v>
      </c>
      <c r="E82" s="68">
        <f>IFERROR(ROUND(E35*SUM(C51:D51),0),0)+E81</f>
        <v>0</v>
      </c>
      <c r="F82" s="68">
        <f>IFERROR(ROUND(F35*SUM(C51:E51),0),0)+F81</f>
        <v>0</v>
      </c>
      <c r="G82" s="68">
        <f>IFERROR(ROUND(G35*SUM(C51:F51),0),0)+G81</f>
        <v>0</v>
      </c>
      <c r="H82" s="68">
        <f>IFERROR(ROUND(H35*SUM(C51:G51),0),0)+H81</f>
        <v>0</v>
      </c>
      <c r="I82" s="68">
        <f>IFERROR(ROUND(I35*SUM(C51:H51),0),0)+I81</f>
        <v>0</v>
      </c>
      <c r="J82" s="68">
        <f>IFERROR(ROUND(J35*SUM(C51:I51),0),0)+J81</f>
        <v>0</v>
      </c>
      <c r="K82" s="68">
        <f>IFERROR(ROUND(K35*SUM(C51:J51),0),0)+K81</f>
        <v>0</v>
      </c>
      <c r="L82" s="68">
        <f>IFERROR(ROUND(L35*SUM(C51:K51),0),0)+L81</f>
        <v>0</v>
      </c>
      <c r="M82" s="68">
        <f>IFERROR(ROUND(M35*SUM(C51:L51),0),0)+M81</f>
        <v>0</v>
      </c>
      <c r="N82" s="68">
        <f>IFERROR(ROUND(N35*SUM(C51:M51),0),0)+N81</f>
        <v>0</v>
      </c>
      <c r="O82" s="69">
        <f>SUM(C82:N82)</f>
        <v>0</v>
      </c>
      <c r="P82" s="71">
        <v>69</v>
      </c>
      <c r="S82" s="66">
        <v>15</v>
      </c>
    </row>
    <row r="83" spans="1:19" ht="18.75" customHeight="1" thickBot="1" x14ac:dyDescent="0.35">
      <c r="A83" s="431"/>
      <c r="B83" s="250" t="s">
        <v>87</v>
      </c>
      <c r="C83" s="251">
        <f>C82</f>
        <v>0</v>
      </c>
      <c r="D83" s="251">
        <f>C83+D82</f>
        <v>0</v>
      </c>
      <c r="E83" s="251">
        <f t="shared" ref="E83:N83" si="47">D83+E82</f>
        <v>0</v>
      </c>
      <c r="F83" s="251">
        <f>E83+F82</f>
        <v>0</v>
      </c>
      <c r="G83" s="251">
        <f t="shared" si="47"/>
        <v>0</v>
      </c>
      <c r="H83" s="251">
        <f t="shared" si="47"/>
        <v>0</v>
      </c>
      <c r="I83" s="251">
        <f t="shared" si="47"/>
        <v>0</v>
      </c>
      <c r="J83" s="251">
        <f t="shared" si="47"/>
        <v>0</v>
      </c>
      <c r="K83" s="251">
        <f t="shared" si="47"/>
        <v>0</v>
      </c>
      <c r="L83" s="251">
        <f t="shared" si="47"/>
        <v>0</v>
      </c>
      <c r="M83" s="251">
        <f t="shared" si="47"/>
        <v>0</v>
      </c>
      <c r="N83" s="251">
        <f t="shared" si="47"/>
        <v>0</v>
      </c>
      <c r="O83" s="252" t="b">
        <f>EXACT(O82,N83)</f>
        <v>1</v>
      </c>
      <c r="P83" s="71">
        <v>70</v>
      </c>
      <c r="Q83" s="88">
        <f>ROUND(N83/1000,0)</f>
        <v>0</v>
      </c>
      <c r="S83" s="66">
        <v>16</v>
      </c>
    </row>
    <row r="84" spans="1:19" ht="18.75" customHeight="1" x14ac:dyDescent="0.3">
      <c r="A84" s="429" t="s">
        <v>75</v>
      </c>
      <c r="B84" s="235"/>
      <c r="C84" s="281">
        <f t="shared" ref="C84:N84" si="48">IFERROR(ROUND(C35*C54,0),0)</f>
        <v>0</v>
      </c>
      <c r="D84" s="281">
        <f t="shared" si="48"/>
        <v>0</v>
      </c>
      <c r="E84" s="281">
        <f t="shared" si="48"/>
        <v>0</v>
      </c>
      <c r="F84" s="281">
        <f t="shared" si="48"/>
        <v>0</v>
      </c>
      <c r="G84" s="281">
        <f t="shared" si="48"/>
        <v>0</v>
      </c>
      <c r="H84" s="281">
        <f t="shared" si="48"/>
        <v>0</v>
      </c>
      <c r="I84" s="281">
        <f t="shared" si="48"/>
        <v>0</v>
      </c>
      <c r="J84" s="281">
        <f t="shared" si="48"/>
        <v>0</v>
      </c>
      <c r="K84" s="281">
        <f t="shared" si="48"/>
        <v>0</v>
      </c>
      <c r="L84" s="281">
        <f t="shared" si="48"/>
        <v>0</v>
      </c>
      <c r="M84" s="281">
        <f t="shared" si="48"/>
        <v>0</v>
      </c>
      <c r="N84" s="281">
        <f t="shared" si="48"/>
        <v>0</v>
      </c>
      <c r="O84" s="67">
        <f>SUM(C84:N84)</f>
        <v>0</v>
      </c>
      <c r="P84" s="71">
        <v>71</v>
      </c>
      <c r="S84" s="66">
        <v>17</v>
      </c>
    </row>
    <row r="85" spans="1:19" ht="18.75" customHeight="1" thickBot="1" x14ac:dyDescent="0.35">
      <c r="A85" s="430"/>
      <c r="B85" s="84" t="s">
        <v>86</v>
      </c>
      <c r="C85" s="68">
        <f>C84</f>
        <v>0</v>
      </c>
      <c r="D85" s="68">
        <f>IFERROR(ROUND(D35*SUM(C54),0),0)+D84</f>
        <v>0</v>
      </c>
      <c r="E85" s="68">
        <f>IFERROR(ROUND(E35*SUM(C54:D54),0),0)+E84</f>
        <v>0</v>
      </c>
      <c r="F85" s="68">
        <f>IFERROR(ROUND(F35*SUM(C54:E54),0),0)+F84</f>
        <v>0</v>
      </c>
      <c r="G85" s="68">
        <f>IFERROR(ROUND(G35*SUM(C54:F54),0),0)+G84</f>
        <v>0</v>
      </c>
      <c r="H85" s="68">
        <f>IFERROR(ROUND(H35*SUM(C54:G54),0),0)+H84</f>
        <v>0</v>
      </c>
      <c r="I85" s="68">
        <f>IFERROR(ROUND(I35*SUM(C54:H54),0),0)+I84</f>
        <v>0</v>
      </c>
      <c r="J85" s="68">
        <f>IFERROR(ROUND(J35*SUM(C54:I54),0),0)+J84</f>
        <v>0</v>
      </c>
      <c r="K85" s="68">
        <f>IFERROR(ROUND(K35*SUM(C54:J54),0),0)+K84</f>
        <v>0</v>
      </c>
      <c r="L85" s="68">
        <f>IFERROR(ROUND(L35*SUM(C54:K54),0),0)+L84</f>
        <v>0</v>
      </c>
      <c r="M85" s="68">
        <f>IFERROR(ROUND(M35*SUM(C54:L54),0),0)+M84</f>
        <v>0</v>
      </c>
      <c r="N85" s="68">
        <f>IFERROR(ROUND(N35*SUM(C54:M54),0),0)+N84</f>
        <v>0</v>
      </c>
      <c r="O85" s="69">
        <f>SUM(C85:N85)</f>
        <v>0</v>
      </c>
      <c r="P85" s="71">
        <v>72</v>
      </c>
      <c r="S85" s="66">
        <v>18</v>
      </c>
    </row>
    <row r="86" spans="1:19" ht="18.75" customHeight="1" thickBot="1" x14ac:dyDescent="0.35">
      <c r="A86" s="431"/>
      <c r="B86" s="250" t="s">
        <v>87</v>
      </c>
      <c r="C86" s="251">
        <f>C85</f>
        <v>0</v>
      </c>
      <c r="D86" s="251">
        <f>C86+D85</f>
        <v>0</v>
      </c>
      <c r="E86" s="251">
        <f t="shared" ref="E86:N86" si="49">D86+E85</f>
        <v>0</v>
      </c>
      <c r="F86" s="251">
        <f>E86+F85</f>
        <v>0</v>
      </c>
      <c r="G86" s="251">
        <f t="shared" si="49"/>
        <v>0</v>
      </c>
      <c r="H86" s="251">
        <f t="shared" si="49"/>
        <v>0</v>
      </c>
      <c r="I86" s="251">
        <f t="shared" si="49"/>
        <v>0</v>
      </c>
      <c r="J86" s="251">
        <f t="shared" si="49"/>
        <v>0</v>
      </c>
      <c r="K86" s="251">
        <f t="shared" si="49"/>
        <v>0</v>
      </c>
      <c r="L86" s="251">
        <f t="shared" si="49"/>
        <v>0</v>
      </c>
      <c r="M86" s="251">
        <f t="shared" si="49"/>
        <v>0</v>
      </c>
      <c r="N86" s="251">
        <f t="shared" si="49"/>
        <v>0</v>
      </c>
      <c r="O86" s="252" t="b">
        <f>EXACT(O85,N86)</f>
        <v>1</v>
      </c>
      <c r="P86" s="71">
        <v>73</v>
      </c>
      <c r="Q86" s="88">
        <f>ROUND(N86/1000,0)</f>
        <v>0</v>
      </c>
      <c r="S86" s="66">
        <v>19</v>
      </c>
    </row>
    <row r="87" spans="1:19" ht="18.75" customHeight="1" x14ac:dyDescent="0.3">
      <c r="A87" s="429" t="s">
        <v>241</v>
      </c>
      <c r="B87" s="235"/>
      <c r="C87" s="281">
        <f t="shared" ref="C87:N87" si="50">IFERROR(ROUND(C35*C57,0),0)</f>
        <v>0</v>
      </c>
      <c r="D87" s="281">
        <f t="shared" si="50"/>
        <v>0</v>
      </c>
      <c r="E87" s="281">
        <f t="shared" si="50"/>
        <v>0</v>
      </c>
      <c r="F87" s="281">
        <f t="shared" si="50"/>
        <v>0</v>
      </c>
      <c r="G87" s="281">
        <f t="shared" si="50"/>
        <v>0</v>
      </c>
      <c r="H87" s="281">
        <f t="shared" si="50"/>
        <v>0</v>
      </c>
      <c r="I87" s="281">
        <f t="shared" si="50"/>
        <v>0</v>
      </c>
      <c r="J87" s="281">
        <f t="shared" si="50"/>
        <v>0</v>
      </c>
      <c r="K87" s="281">
        <f t="shared" si="50"/>
        <v>0</v>
      </c>
      <c r="L87" s="281">
        <f t="shared" si="50"/>
        <v>0</v>
      </c>
      <c r="M87" s="281">
        <f t="shared" si="50"/>
        <v>0</v>
      </c>
      <c r="N87" s="281">
        <f t="shared" si="50"/>
        <v>0</v>
      </c>
      <c r="O87" s="67">
        <f>SUM(C87:N87)</f>
        <v>0</v>
      </c>
      <c r="P87" s="71">
        <v>74</v>
      </c>
      <c r="S87" s="66">
        <v>20</v>
      </c>
    </row>
    <row r="88" spans="1:19" ht="18.75" customHeight="1" thickBot="1" x14ac:dyDescent="0.35">
      <c r="A88" s="430"/>
      <c r="B88" s="84" t="s">
        <v>86</v>
      </c>
      <c r="C88" s="68">
        <f>C87</f>
        <v>0</v>
      </c>
      <c r="D88" s="68">
        <f>C88+D87</f>
        <v>0</v>
      </c>
      <c r="E88" s="68">
        <f t="shared" ref="E88:N89" si="51">D88+E87</f>
        <v>0</v>
      </c>
      <c r="F88" s="68">
        <f t="shared" si="51"/>
        <v>0</v>
      </c>
      <c r="G88" s="68">
        <f t="shared" si="51"/>
        <v>0</v>
      </c>
      <c r="H88" s="68">
        <f t="shared" si="51"/>
        <v>0</v>
      </c>
      <c r="I88" s="68">
        <f t="shared" si="51"/>
        <v>0</v>
      </c>
      <c r="J88" s="68">
        <f t="shared" si="51"/>
        <v>0</v>
      </c>
      <c r="K88" s="68">
        <f t="shared" si="51"/>
        <v>0</v>
      </c>
      <c r="L88" s="68">
        <f t="shared" si="51"/>
        <v>0</v>
      </c>
      <c r="M88" s="68">
        <f t="shared" si="51"/>
        <v>0</v>
      </c>
      <c r="N88" s="68">
        <f t="shared" si="51"/>
        <v>0</v>
      </c>
      <c r="O88" s="69">
        <f>SUM(C88:N88)</f>
        <v>0</v>
      </c>
      <c r="P88" s="71">
        <v>75</v>
      </c>
      <c r="S88" s="66">
        <v>21</v>
      </c>
    </row>
    <row r="89" spans="1:19" ht="18.75" customHeight="1" thickBot="1" x14ac:dyDescent="0.35">
      <c r="A89" s="431"/>
      <c r="B89" s="250" t="s">
        <v>87</v>
      </c>
      <c r="C89" s="251">
        <f>C88</f>
        <v>0</v>
      </c>
      <c r="D89" s="251">
        <f>C89+D88</f>
        <v>0</v>
      </c>
      <c r="E89" s="251">
        <f t="shared" si="51"/>
        <v>0</v>
      </c>
      <c r="F89" s="251">
        <f>E89+F88</f>
        <v>0</v>
      </c>
      <c r="G89" s="251">
        <f t="shared" si="51"/>
        <v>0</v>
      </c>
      <c r="H89" s="251">
        <f t="shared" si="51"/>
        <v>0</v>
      </c>
      <c r="I89" s="251">
        <f t="shared" si="51"/>
        <v>0</v>
      </c>
      <c r="J89" s="251">
        <f t="shared" si="51"/>
        <v>0</v>
      </c>
      <c r="K89" s="251">
        <f t="shared" si="51"/>
        <v>0</v>
      </c>
      <c r="L89" s="251">
        <f t="shared" si="51"/>
        <v>0</v>
      </c>
      <c r="M89" s="251">
        <f t="shared" si="51"/>
        <v>0</v>
      </c>
      <c r="N89" s="251">
        <f t="shared" si="51"/>
        <v>0</v>
      </c>
      <c r="O89" s="252" t="b">
        <f>EXACT(O88,N89)</f>
        <v>1</v>
      </c>
      <c r="P89" s="71">
        <v>76</v>
      </c>
      <c r="Q89" s="88">
        <f>ROUND(N89/1000,0)</f>
        <v>0</v>
      </c>
      <c r="S89" s="66">
        <v>22</v>
      </c>
    </row>
    <row r="90" spans="1:19" ht="18.75" customHeight="1" x14ac:dyDescent="0.3">
      <c r="A90" s="429" t="s">
        <v>242</v>
      </c>
      <c r="B90" s="235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>
        <f>SUM(C90:N90)</f>
        <v>0</v>
      </c>
      <c r="P90" s="71">
        <v>77</v>
      </c>
      <c r="S90" s="66">
        <v>23</v>
      </c>
    </row>
    <row r="91" spans="1:19" ht="18.75" customHeight="1" thickBot="1" x14ac:dyDescent="0.35">
      <c r="A91" s="430"/>
      <c r="B91" s="84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9">
        <f>SUM(C91:N91)</f>
        <v>0</v>
      </c>
      <c r="P91" s="71">
        <v>78</v>
      </c>
      <c r="S91" s="66">
        <v>24</v>
      </c>
    </row>
    <row r="92" spans="1:19" ht="18.75" customHeight="1" thickBot="1" x14ac:dyDescent="0.35">
      <c r="A92" s="430"/>
      <c r="B92" s="253" t="s">
        <v>87</v>
      </c>
      <c r="C92" s="254">
        <f t="shared" ref="C92:N92" si="52">ROUND(C103,0)</f>
        <v>0</v>
      </c>
      <c r="D92" s="254">
        <f t="shared" si="52"/>
        <v>0</v>
      </c>
      <c r="E92" s="254">
        <f t="shared" si="52"/>
        <v>0</v>
      </c>
      <c r="F92" s="254">
        <f t="shared" si="52"/>
        <v>0</v>
      </c>
      <c r="G92" s="254">
        <f t="shared" si="52"/>
        <v>0</v>
      </c>
      <c r="H92" s="254">
        <f t="shared" si="52"/>
        <v>0</v>
      </c>
      <c r="I92" s="254">
        <f t="shared" si="52"/>
        <v>0</v>
      </c>
      <c r="J92" s="254">
        <f t="shared" si="52"/>
        <v>0</v>
      </c>
      <c r="K92" s="254">
        <f t="shared" si="52"/>
        <v>0</v>
      </c>
      <c r="L92" s="254">
        <f t="shared" si="52"/>
        <v>0</v>
      </c>
      <c r="M92" s="254">
        <f t="shared" si="52"/>
        <v>0</v>
      </c>
      <c r="N92" s="254">
        <f t="shared" si="52"/>
        <v>0</v>
      </c>
      <c r="O92" s="255" t="b">
        <f>EXACT(O91,N92)</f>
        <v>1</v>
      </c>
      <c r="P92" s="71">
        <v>79</v>
      </c>
      <c r="Q92" s="88">
        <f>ROUND(N92/1000,0)</f>
        <v>0</v>
      </c>
      <c r="S92" s="66">
        <v>25</v>
      </c>
    </row>
    <row r="93" spans="1:19" ht="18.75" customHeight="1" x14ac:dyDescent="0.3">
      <c r="A93" s="432" t="s">
        <v>243</v>
      </c>
      <c r="B93" s="256"/>
      <c r="C93" s="236">
        <f>C69+C72+C78+C81+C84+C87</f>
        <v>0</v>
      </c>
      <c r="D93" s="236">
        <f t="shared" ref="D93:N93" si="53">D69+D72+D78+D81+D84+D87</f>
        <v>0</v>
      </c>
      <c r="E93" s="236">
        <f t="shared" si="53"/>
        <v>0</v>
      </c>
      <c r="F93" s="236">
        <f t="shared" si="53"/>
        <v>0</v>
      </c>
      <c r="G93" s="236">
        <f t="shared" si="53"/>
        <v>0</v>
      </c>
      <c r="H93" s="236">
        <f t="shared" si="53"/>
        <v>0</v>
      </c>
      <c r="I93" s="236">
        <f t="shared" si="53"/>
        <v>0</v>
      </c>
      <c r="J93" s="236">
        <f t="shared" si="53"/>
        <v>0</v>
      </c>
      <c r="K93" s="236">
        <f t="shared" si="53"/>
        <v>0</v>
      </c>
      <c r="L93" s="236">
        <f t="shared" si="53"/>
        <v>0</v>
      </c>
      <c r="M93" s="236">
        <f t="shared" si="53"/>
        <v>0</v>
      </c>
      <c r="N93" s="236">
        <f t="shared" si="53"/>
        <v>0</v>
      </c>
      <c r="O93" s="237">
        <f>SUM(C93:N93)</f>
        <v>0</v>
      </c>
      <c r="P93" s="71">
        <v>80</v>
      </c>
      <c r="S93" s="66">
        <v>26</v>
      </c>
    </row>
    <row r="94" spans="1:19" ht="18.75" customHeight="1" thickBot="1" x14ac:dyDescent="0.35">
      <c r="A94" s="433"/>
      <c r="B94" s="84" t="s">
        <v>86</v>
      </c>
      <c r="C94" s="68">
        <f>C70+C73+C79+C82+C85+C88</f>
        <v>0</v>
      </c>
      <c r="D94" s="68">
        <f t="shared" ref="D94:N94" si="54">D70+D73+D79+D82+D85+D88</f>
        <v>0</v>
      </c>
      <c r="E94" s="68">
        <f t="shared" si="54"/>
        <v>0</v>
      </c>
      <c r="F94" s="68">
        <f t="shared" si="54"/>
        <v>0</v>
      </c>
      <c r="G94" s="68">
        <f t="shared" si="54"/>
        <v>0</v>
      </c>
      <c r="H94" s="68">
        <f t="shared" si="54"/>
        <v>0</v>
      </c>
      <c r="I94" s="68">
        <f t="shared" si="54"/>
        <v>0</v>
      </c>
      <c r="J94" s="68">
        <f t="shared" si="54"/>
        <v>0</v>
      </c>
      <c r="K94" s="68">
        <f t="shared" si="54"/>
        <v>0</v>
      </c>
      <c r="L94" s="68">
        <f t="shared" si="54"/>
        <v>0</v>
      </c>
      <c r="M94" s="68">
        <f t="shared" si="54"/>
        <v>0</v>
      </c>
      <c r="N94" s="68">
        <f t="shared" si="54"/>
        <v>0</v>
      </c>
      <c r="O94" s="238">
        <f>SUM(C94:N94)</f>
        <v>0</v>
      </c>
      <c r="P94" s="71">
        <v>81</v>
      </c>
      <c r="Q94" s="66" t="s">
        <v>315</v>
      </c>
      <c r="R94" s="66" t="s">
        <v>317</v>
      </c>
      <c r="S94" s="66">
        <v>27</v>
      </c>
    </row>
    <row r="95" spans="1:19" ht="18.75" customHeight="1" thickBot="1" x14ac:dyDescent="0.35">
      <c r="A95" s="434"/>
      <c r="B95" s="257" t="s">
        <v>87</v>
      </c>
      <c r="C95" s="258">
        <f>C77+C80+C83+C86+C89</f>
        <v>0</v>
      </c>
      <c r="D95" s="258">
        <f t="shared" ref="D95:N95" si="55">D77+D80+D83+D86+D89</f>
        <v>0</v>
      </c>
      <c r="E95" s="258">
        <f t="shared" si="55"/>
        <v>0</v>
      </c>
      <c r="F95" s="258">
        <f t="shared" si="55"/>
        <v>0</v>
      </c>
      <c r="G95" s="258">
        <f t="shared" si="55"/>
        <v>0</v>
      </c>
      <c r="H95" s="258">
        <f t="shared" si="55"/>
        <v>0</v>
      </c>
      <c r="I95" s="258">
        <f t="shared" si="55"/>
        <v>0</v>
      </c>
      <c r="J95" s="258">
        <f t="shared" si="55"/>
        <v>0</v>
      </c>
      <c r="K95" s="258">
        <f t="shared" si="55"/>
        <v>0</v>
      </c>
      <c r="L95" s="258">
        <f t="shared" si="55"/>
        <v>0</v>
      </c>
      <c r="M95" s="258">
        <f t="shared" si="55"/>
        <v>0</v>
      </c>
      <c r="N95" s="258">
        <f t="shared" si="55"/>
        <v>0</v>
      </c>
      <c r="O95" s="259" t="b">
        <f>EXACT(O94,N95)</f>
        <v>1</v>
      </c>
      <c r="P95" s="71">
        <v>82</v>
      </c>
      <c r="Q95" s="88">
        <f>Q71+Q74+Q80+Q83+Q86+Q89</f>
        <v>0</v>
      </c>
      <c r="R95" s="88">
        <f>Q71+Q74+Q80+Q83+Q86+Q89+Q92</f>
        <v>0</v>
      </c>
      <c r="S95" s="66">
        <v>28</v>
      </c>
    </row>
    <row r="96" spans="1:19" ht="18.75" customHeight="1" x14ac:dyDescent="0.3">
      <c r="A96" s="72"/>
      <c r="P96" s="71">
        <v>83</v>
      </c>
    </row>
    <row r="97" spans="1:17" ht="18.75" customHeight="1" x14ac:dyDescent="0.3">
      <c r="P97" s="71">
        <v>84</v>
      </c>
    </row>
    <row r="98" spans="1:17" ht="18.75" customHeight="1" x14ac:dyDescent="0.3">
      <c r="B98" s="271" t="s">
        <v>250</v>
      </c>
      <c r="C98"/>
      <c r="D98"/>
      <c r="E98"/>
      <c r="F98" s="93"/>
      <c r="G98" s="93"/>
      <c r="H98" s="93"/>
      <c r="I98" s="95"/>
      <c r="J98" s="93"/>
      <c r="K98" s="93"/>
      <c r="L98" s="93"/>
      <c r="M98" s="93"/>
      <c r="N98" s="93"/>
      <c r="O98" s="93"/>
      <c r="P98" s="71">
        <v>85</v>
      </c>
    </row>
    <row r="99" spans="1:17" ht="18.75" customHeight="1" thickBot="1" x14ac:dyDescent="0.35">
      <c r="B99" s="273" t="s">
        <v>36</v>
      </c>
      <c r="C99" s="147" t="s">
        <v>118</v>
      </c>
      <c r="D99" s="147" t="s">
        <v>119</v>
      </c>
      <c r="E99" s="147" t="s">
        <v>120</v>
      </c>
      <c r="F99" s="147" t="s">
        <v>121</v>
      </c>
      <c r="G99" s="147" t="s">
        <v>122</v>
      </c>
      <c r="H99" s="147" t="s">
        <v>123</v>
      </c>
      <c r="I99" s="147" t="s">
        <v>124</v>
      </c>
      <c r="J99" s="147" t="s">
        <v>125</v>
      </c>
      <c r="K99" s="147" t="s">
        <v>126</v>
      </c>
      <c r="L99" s="147" t="s">
        <v>127</v>
      </c>
      <c r="M99" s="147" t="s">
        <v>116</v>
      </c>
      <c r="N99" s="147" t="s">
        <v>128</v>
      </c>
      <c r="O99" s="148" t="s">
        <v>129</v>
      </c>
      <c r="P99" s="71">
        <v>86</v>
      </c>
    </row>
    <row r="100" spans="1:17" ht="18.75" customHeight="1" thickBot="1" x14ac:dyDescent="0.35">
      <c r="B100" s="274" t="s">
        <v>251</v>
      </c>
      <c r="C100" s="268">
        <f>IFERROR(ROUND(C103/C35,0),0)</f>
        <v>0</v>
      </c>
      <c r="D100" s="268">
        <f t="shared" ref="D100:H100" si="56">IFERROR(ROUND(D103/D35,0),C100)</f>
        <v>0</v>
      </c>
      <c r="E100" s="268">
        <f t="shared" si="56"/>
        <v>0</v>
      </c>
      <c r="F100" s="264">
        <f t="shared" si="56"/>
        <v>0</v>
      </c>
      <c r="G100" s="264">
        <f t="shared" si="56"/>
        <v>0</v>
      </c>
      <c r="H100" s="264">
        <f t="shared" si="56"/>
        <v>0</v>
      </c>
      <c r="I100" s="264">
        <f>IFERROR(ROUND(I103/I35,0),H100)</f>
        <v>0</v>
      </c>
      <c r="J100" s="264">
        <f>IFERROR(ROUND(J103/J35,0),I100)</f>
        <v>0</v>
      </c>
      <c r="K100" s="264">
        <f t="shared" ref="K100:N100" si="57">IFERROR(ROUND(K103/K35,0),J100)</f>
        <v>0</v>
      </c>
      <c r="L100" s="264">
        <f t="shared" si="57"/>
        <v>0</v>
      </c>
      <c r="M100" s="264">
        <f t="shared" si="57"/>
        <v>0</v>
      </c>
      <c r="N100" s="264">
        <f t="shared" si="57"/>
        <v>0</v>
      </c>
      <c r="O100" s="275">
        <f>SUM(C100:N100)</f>
        <v>0</v>
      </c>
      <c r="P100" s="71">
        <v>87</v>
      </c>
      <c r="Q100" s="88">
        <f>N100</f>
        <v>0</v>
      </c>
    </row>
    <row r="101" spans="1:17" ht="18.75" customHeight="1" x14ac:dyDescent="0.3">
      <c r="B101" s="95"/>
      <c r="C101" s="282"/>
      <c r="D101" s="282"/>
      <c r="E101" s="282"/>
      <c r="F101" s="234"/>
      <c r="G101" s="234"/>
      <c r="H101" s="234"/>
      <c r="I101" s="234"/>
      <c r="J101" s="234"/>
      <c r="K101" s="234"/>
      <c r="L101" s="234"/>
      <c r="M101" s="234"/>
      <c r="N101" s="234"/>
      <c r="O101" s="132"/>
      <c r="P101" s="71">
        <v>88</v>
      </c>
    </row>
    <row r="102" spans="1:17" ht="18.75" customHeight="1" thickBot="1" x14ac:dyDescent="0.35">
      <c r="B102" s="283" t="s">
        <v>50</v>
      </c>
      <c r="C102" s="295">
        <v>1</v>
      </c>
      <c r="D102" s="295">
        <v>2</v>
      </c>
      <c r="E102" s="295">
        <v>3</v>
      </c>
      <c r="F102" s="295">
        <v>4</v>
      </c>
      <c r="G102" s="295">
        <v>5</v>
      </c>
      <c r="H102" s="295">
        <v>6</v>
      </c>
      <c r="I102" s="295">
        <v>7</v>
      </c>
      <c r="J102" s="295">
        <v>8</v>
      </c>
      <c r="K102" s="295">
        <v>9</v>
      </c>
      <c r="L102" s="295">
        <v>10</v>
      </c>
      <c r="M102" s="295">
        <v>11</v>
      </c>
      <c r="N102" s="295">
        <v>12</v>
      </c>
      <c r="O102" s="148" t="s">
        <v>129</v>
      </c>
      <c r="P102" s="71">
        <v>89</v>
      </c>
    </row>
    <row r="103" spans="1:17" ht="18.75" customHeight="1" thickBot="1" x14ac:dyDescent="0.35">
      <c r="B103" s="274" t="s">
        <v>251</v>
      </c>
      <c r="C103" s="284"/>
      <c r="D103" s="284"/>
      <c r="E103" s="284"/>
      <c r="F103" s="285"/>
      <c r="G103" s="285"/>
      <c r="H103" s="285"/>
      <c r="I103" s="285"/>
      <c r="J103" s="285"/>
      <c r="K103" s="285"/>
      <c r="L103" s="285"/>
      <c r="M103" s="285"/>
      <c r="N103" s="285"/>
      <c r="O103" s="275">
        <f>SUM(C103:N103)</f>
        <v>0</v>
      </c>
      <c r="P103" s="71">
        <v>90</v>
      </c>
      <c r="Q103" s="88">
        <f>ROUND(HLOOKUP(C1,$C$102:$N$103,2,0)/1000,0)</f>
        <v>0</v>
      </c>
    </row>
    <row r="104" spans="1:17" ht="18.75" customHeight="1" x14ac:dyDescent="0.3">
      <c r="B104" s="93"/>
      <c r="C104" s="233"/>
      <c r="D104" s="233"/>
      <c r="E104" s="233"/>
      <c r="F104" s="132"/>
      <c r="G104" s="132"/>
      <c r="H104" s="132"/>
      <c r="I104" s="234"/>
      <c r="J104" s="132"/>
      <c r="K104" s="132"/>
      <c r="L104" s="132"/>
      <c r="M104" s="132"/>
      <c r="N104" s="132"/>
      <c r="O104" s="132"/>
      <c r="P104" s="71">
        <v>91</v>
      </c>
    </row>
    <row r="105" spans="1:17" s="41" customFormat="1" ht="28.5" customHeight="1" x14ac:dyDescent="0.3">
      <c r="P105" s="71">
        <v>92</v>
      </c>
    </row>
    <row r="106" spans="1:17" ht="24.75" customHeight="1" x14ac:dyDescent="0.3">
      <c r="A106" s="66"/>
      <c r="B106" s="66"/>
      <c r="C106" s="66"/>
      <c r="D106" s="66"/>
      <c r="E106" s="66"/>
      <c r="F106" s="66"/>
      <c r="G106" s="66"/>
      <c r="H106" s="66"/>
      <c r="I106" s="66"/>
      <c r="J106" s="183"/>
      <c r="K106" s="183"/>
      <c r="L106" s="183"/>
      <c r="M106" s="183"/>
      <c r="O106" s="66"/>
      <c r="P106" s="71">
        <v>93</v>
      </c>
    </row>
    <row r="107" spans="1:17" ht="24.75" customHeight="1" x14ac:dyDescent="0.3">
      <c r="A107" s="66"/>
      <c r="B107" s="66"/>
      <c r="C107" s="66"/>
      <c r="D107" s="66"/>
      <c r="E107" s="66"/>
      <c r="F107" s="66"/>
      <c r="G107" s="66"/>
      <c r="H107" s="66"/>
      <c r="I107" s="66"/>
      <c r="J107" s="93"/>
      <c r="K107" s="93"/>
      <c r="L107" s="93"/>
      <c r="M107" s="95"/>
      <c r="O107" s="66"/>
      <c r="P107" s="71">
        <v>94</v>
      </c>
    </row>
    <row r="108" spans="1:17" ht="24.75" customHeight="1" x14ac:dyDescent="0.3">
      <c r="A108" s="66"/>
      <c r="B108" s="66"/>
      <c r="C108" s="66"/>
      <c r="D108" s="66"/>
      <c r="E108" s="66"/>
      <c r="F108" s="66"/>
      <c r="G108" s="66"/>
      <c r="H108" s="66"/>
      <c r="I108" s="66"/>
      <c r="O108" s="66"/>
      <c r="P108" s="71">
        <v>95</v>
      </c>
    </row>
    <row r="109" spans="1:17" ht="24.75" customHeight="1" x14ac:dyDescent="0.3">
      <c r="A109" s="66"/>
      <c r="B109" s="66"/>
      <c r="C109" s="66"/>
      <c r="D109" s="66"/>
      <c r="E109" s="66"/>
      <c r="F109" s="66"/>
      <c r="G109" s="66"/>
      <c r="H109" s="66"/>
      <c r="I109" s="66"/>
      <c r="O109" s="66"/>
      <c r="P109" s="71">
        <v>96</v>
      </c>
    </row>
    <row r="110" spans="1:17" ht="24.75" customHeight="1" x14ac:dyDescent="0.3">
      <c r="A110" s="66"/>
      <c r="B110" s="66"/>
      <c r="C110" s="66"/>
      <c r="D110" s="66"/>
      <c r="E110" s="66"/>
      <c r="F110" s="66"/>
      <c r="G110" s="66"/>
      <c r="H110" s="66"/>
      <c r="I110" s="66"/>
      <c r="O110" s="66"/>
      <c r="P110" s="71">
        <v>97</v>
      </c>
    </row>
    <row r="111" spans="1:17" ht="24.75" customHeight="1" x14ac:dyDescent="0.3">
      <c r="A111" s="66"/>
      <c r="B111" s="66"/>
      <c r="C111" s="66"/>
      <c r="D111" s="66"/>
      <c r="E111" s="66"/>
      <c r="F111" s="66"/>
      <c r="G111" s="66"/>
      <c r="H111" s="66"/>
      <c r="I111" s="66"/>
      <c r="O111" s="66"/>
      <c r="P111" s="71">
        <v>98</v>
      </c>
    </row>
    <row r="112" spans="1:17" ht="24.75" customHeight="1" x14ac:dyDescent="0.3">
      <c r="A112" s="66"/>
      <c r="B112" s="66"/>
      <c r="C112" s="66"/>
      <c r="D112" s="66"/>
      <c r="E112" s="66"/>
      <c r="F112" s="66"/>
      <c r="G112" s="66"/>
      <c r="H112" s="66"/>
      <c r="I112" s="66"/>
      <c r="O112" s="66"/>
      <c r="P112" s="71">
        <v>99</v>
      </c>
    </row>
    <row r="113" spans="1:16" ht="24.75" customHeight="1" x14ac:dyDescent="0.3">
      <c r="A113" s="66"/>
      <c r="B113" s="66"/>
      <c r="C113" s="66"/>
      <c r="D113" s="66"/>
      <c r="E113" s="66"/>
      <c r="F113" s="66"/>
      <c r="G113" s="66"/>
      <c r="H113" s="66"/>
      <c r="I113" s="66"/>
      <c r="O113" s="66"/>
      <c r="P113" s="71">
        <v>100</v>
      </c>
    </row>
    <row r="114" spans="1:16" ht="24.75" customHeight="1" x14ac:dyDescent="0.3">
      <c r="A114" s="66"/>
      <c r="B114" s="66"/>
      <c r="C114" s="66"/>
      <c r="D114" s="66"/>
      <c r="E114" s="66"/>
      <c r="F114" s="66"/>
      <c r="G114" s="66"/>
      <c r="H114" s="66"/>
      <c r="I114" s="66"/>
      <c r="O114" s="66"/>
      <c r="P114" s="71">
        <v>101</v>
      </c>
    </row>
    <row r="115" spans="1:16" ht="24.75" customHeight="1" x14ac:dyDescent="0.3">
      <c r="A115" s="66"/>
      <c r="B115" s="66"/>
      <c r="C115" s="66"/>
      <c r="D115" s="66"/>
      <c r="E115" s="66"/>
      <c r="F115" s="66"/>
      <c r="G115" s="66"/>
      <c r="H115" s="66"/>
      <c r="I115" s="66"/>
      <c r="O115" s="66"/>
      <c r="P115" s="71">
        <v>102</v>
      </c>
    </row>
  </sheetData>
  <mergeCells count="32">
    <mergeCell ref="A93:A95"/>
    <mergeCell ref="A75:A77"/>
    <mergeCell ref="A81:A83"/>
    <mergeCell ref="A84:A86"/>
    <mergeCell ref="A87:A89"/>
    <mergeCell ref="A90:A92"/>
    <mergeCell ref="A78:A80"/>
    <mergeCell ref="A45:A47"/>
    <mergeCell ref="A48:A50"/>
    <mergeCell ref="A51:A53"/>
    <mergeCell ref="A54:A56"/>
    <mergeCell ref="A57:A59"/>
    <mergeCell ref="A60:A62"/>
    <mergeCell ref="A63:A65"/>
    <mergeCell ref="A68:B68"/>
    <mergeCell ref="A69:A71"/>
    <mergeCell ref="A72:A74"/>
    <mergeCell ref="C1:D1"/>
    <mergeCell ref="A42:A44"/>
    <mergeCell ref="A32:B32"/>
    <mergeCell ref="A33:A35"/>
    <mergeCell ref="A14:B14"/>
    <mergeCell ref="A15:A16"/>
    <mergeCell ref="A17:A18"/>
    <mergeCell ref="A19:B19"/>
    <mergeCell ref="A20:A21"/>
    <mergeCell ref="A22:A23"/>
    <mergeCell ref="A24:A25"/>
    <mergeCell ref="A26:A27"/>
    <mergeCell ref="A28:A29"/>
    <mergeCell ref="A38:B38"/>
    <mergeCell ref="A39:A41"/>
  </mergeCells>
  <phoneticPr fontId="1" type="noConversion"/>
  <conditionalFormatting sqref="O65">
    <cfRule type="containsText" dxfId="22" priority="2" operator="containsText" text="false">
      <formula>NOT(ISERROR(SEARCH("false",O65)))</formula>
    </cfRule>
  </conditionalFormatting>
  <conditionalFormatting sqref="Q65">
    <cfRule type="containsText" dxfId="21" priority="1" operator="containsText" text="false">
      <formula>NOT(ISERROR(SEARCH("false",Q65)))</formula>
    </cfRule>
  </conditionalFormatting>
  <pageMargins left="0.75" right="0.75" top="0.59" bottom="0.33" header="0.5" footer="0.25"/>
  <pageSetup paperSize="8" scale="3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CF16-ABC7-40FA-BA28-7C4C5C65EE96}">
  <sheetPr>
    <tabColor rgb="FFFF0000"/>
  </sheetPr>
  <dimension ref="A5:R64"/>
  <sheetViews>
    <sheetView workbookViewId="0">
      <selection activeCell="C6" sqref="C6"/>
    </sheetView>
  </sheetViews>
  <sheetFormatPr defaultRowHeight="16.5" x14ac:dyDescent="0.3"/>
  <cols>
    <col min="1" max="1" width="11.25" customWidth="1"/>
    <col min="2" max="2" width="9.75" customWidth="1"/>
    <col min="3" max="4" width="12" bestFit="1" customWidth="1"/>
    <col min="5" max="9" width="14.5" bestFit="1" customWidth="1"/>
    <col min="10" max="14" width="15.75" bestFit="1" customWidth="1"/>
    <col min="15" max="15" width="14.5" bestFit="1" customWidth="1"/>
    <col min="17" max="17" width="10.5" bestFit="1" customWidth="1"/>
    <col min="18" max="18" width="10.75" bestFit="1" customWidth="1"/>
  </cols>
  <sheetData>
    <row r="5" spans="1:18" x14ac:dyDescent="0.3">
      <c r="A5" s="424" t="s">
        <v>73</v>
      </c>
      <c r="B5" s="424"/>
      <c r="C5" s="349">
        <v>1</v>
      </c>
      <c r="D5" s="349">
        <v>2</v>
      </c>
      <c r="E5" s="349">
        <v>3</v>
      </c>
      <c r="F5" s="349">
        <v>4</v>
      </c>
      <c r="G5" s="349">
        <v>5</v>
      </c>
      <c r="H5" s="349">
        <v>6</v>
      </c>
      <c r="I5" s="349">
        <v>7</v>
      </c>
      <c r="J5" s="349">
        <v>8</v>
      </c>
      <c r="K5" s="349">
        <v>9</v>
      </c>
      <c r="L5" s="349">
        <v>10</v>
      </c>
      <c r="M5" s="349">
        <v>11</v>
      </c>
      <c r="N5" s="349">
        <v>12</v>
      </c>
      <c r="O5" s="349" t="s">
        <v>74</v>
      </c>
    </row>
    <row r="6" spans="1:18" x14ac:dyDescent="0.3">
      <c r="A6" s="426" t="s">
        <v>88</v>
      </c>
      <c r="B6" s="235" t="s">
        <v>192</v>
      </c>
      <c r="C6" s="279">
        <v>59</v>
      </c>
      <c r="D6" s="279">
        <v>84</v>
      </c>
      <c r="E6" s="279">
        <v>92</v>
      </c>
      <c r="F6" s="279">
        <v>65</v>
      </c>
      <c r="G6" s="279">
        <v>67</v>
      </c>
      <c r="H6" s="279">
        <v>77</v>
      </c>
      <c r="I6" s="279">
        <v>67</v>
      </c>
      <c r="J6" s="279">
        <v>79</v>
      </c>
      <c r="K6" s="279">
        <v>92</v>
      </c>
      <c r="L6" s="279">
        <v>71</v>
      </c>
      <c r="M6" s="279">
        <v>59</v>
      </c>
      <c r="N6" s="279">
        <v>83</v>
      </c>
      <c r="O6" s="249">
        <f>SUM(C6:N6)</f>
        <v>895</v>
      </c>
    </row>
    <row r="7" spans="1:18" x14ac:dyDescent="0.3">
      <c r="A7" s="426"/>
      <c r="B7" s="243" t="s">
        <v>158</v>
      </c>
      <c r="C7" s="248">
        <f>C6</f>
        <v>59</v>
      </c>
      <c r="D7" s="248">
        <f>C7+D6</f>
        <v>143</v>
      </c>
      <c r="E7" s="248">
        <f t="shared" ref="E7:N7" si="0">D7+E6</f>
        <v>235</v>
      </c>
      <c r="F7" s="248">
        <f t="shared" si="0"/>
        <v>300</v>
      </c>
      <c r="G7" s="248">
        <f t="shared" si="0"/>
        <v>367</v>
      </c>
      <c r="H7" s="248">
        <f t="shared" si="0"/>
        <v>444</v>
      </c>
      <c r="I7" s="248">
        <f t="shared" si="0"/>
        <v>511</v>
      </c>
      <c r="J7" s="248">
        <f t="shared" si="0"/>
        <v>590</v>
      </c>
      <c r="K7" s="248">
        <f t="shared" si="0"/>
        <v>682</v>
      </c>
      <c r="L7" s="248">
        <f t="shared" si="0"/>
        <v>753</v>
      </c>
      <c r="M7" s="248">
        <f t="shared" si="0"/>
        <v>812</v>
      </c>
      <c r="N7" s="248">
        <f t="shared" si="0"/>
        <v>895</v>
      </c>
      <c r="O7" s="70"/>
    </row>
    <row r="8" spans="1:18" ht="17.25" thickBot="1" x14ac:dyDescent="0.35"/>
    <row r="9" spans="1:18" ht="17.25" thickBot="1" x14ac:dyDescent="0.35">
      <c r="A9" s="429" t="s">
        <v>88</v>
      </c>
      <c r="B9" s="235" t="s">
        <v>319</v>
      </c>
      <c r="C9" s="67">
        <f>ROUND(C6*$R$9,0)</f>
        <v>6549</v>
      </c>
      <c r="D9" s="67">
        <f t="shared" ref="D9:N9" si="1">ROUND(D6*$R$9,0)</f>
        <v>9324</v>
      </c>
      <c r="E9" s="67">
        <f t="shared" si="1"/>
        <v>10212</v>
      </c>
      <c r="F9" s="67">
        <f t="shared" si="1"/>
        <v>7215</v>
      </c>
      <c r="G9" s="67">
        <f t="shared" si="1"/>
        <v>7437</v>
      </c>
      <c r="H9" s="67">
        <f t="shared" si="1"/>
        <v>8547</v>
      </c>
      <c r="I9" s="67">
        <f t="shared" si="1"/>
        <v>7437</v>
      </c>
      <c r="J9" s="67">
        <f t="shared" si="1"/>
        <v>8769</v>
      </c>
      <c r="K9" s="67">
        <f t="shared" si="1"/>
        <v>10212</v>
      </c>
      <c r="L9" s="67">
        <f t="shared" si="1"/>
        <v>7881</v>
      </c>
      <c r="M9" s="67">
        <f t="shared" si="1"/>
        <v>6549</v>
      </c>
      <c r="N9" s="67">
        <f t="shared" si="1"/>
        <v>9213</v>
      </c>
      <c r="O9" s="67">
        <f>SUM(C9:N9)</f>
        <v>99345</v>
      </c>
      <c r="Q9" s="86" t="s">
        <v>8</v>
      </c>
      <c r="R9" s="260">
        <v>111</v>
      </c>
    </row>
    <row r="10" spans="1:18" x14ac:dyDescent="0.3">
      <c r="A10" s="430"/>
      <c r="B10" s="84" t="s">
        <v>86</v>
      </c>
      <c r="C10" s="68">
        <f>C9</f>
        <v>6549</v>
      </c>
      <c r="D10" s="68">
        <f>C10+D9</f>
        <v>15873</v>
      </c>
      <c r="E10" s="68">
        <f t="shared" ref="E10:N11" si="2">D10+E9</f>
        <v>26085</v>
      </c>
      <c r="F10" s="68">
        <f t="shared" si="2"/>
        <v>33300</v>
      </c>
      <c r="G10" s="68">
        <f t="shared" si="2"/>
        <v>40737</v>
      </c>
      <c r="H10" s="68">
        <f t="shared" si="2"/>
        <v>49284</v>
      </c>
      <c r="I10" s="68">
        <f t="shared" si="2"/>
        <v>56721</v>
      </c>
      <c r="J10" s="68">
        <f t="shared" si="2"/>
        <v>65490</v>
      </c>
      <c r="K10" s="68">
        <f t="shared" si="2"/>
        <v>75702</v>
      </c>
      <c r="L10" s="68">
        <f t="shared" si="2"/>
        <v>83583</v>
      </c>
      <c r="M10" s="68">
        <f t="shared" si="2"/>
        <v>90132</v>
      </c>
      <c r="N10" s="68">
        <f t="shared" si="2"/>
        <v>99345</v>
      </c>
      <c r="O10" s="293">
        <f>SUM(C10:N10)</f>
        <v>642801</v>
      </c>
    </row>
    <row r="11" spans="1:18" x14ac:dyDescent="0.3">
      <c r="A11" s="431"/>
      <c r="B11" s="250" t="s">
        <v>87</v>
      </c>
      <c r="C11" s="251">
        <f>C10</f>
        <v>6549</v>
      </c>
      <c r="D11" s="251">
        <f>C11+D10</f>
        <v>22422</v>
      </c>
      <c r="E11" s="251">
        <f t="shared" si="2"/>
        <v>48507</v>
      </c>
      <c r="F11" s="251">
        <f>E11+F10</f>
        <v>81807</v>
      </c>
      <c r="G11" s="251">
        <f t="shared" si="2"/>
        <v>122544</v>
      </c>
      <c r="H11" s="251">
        <f t="shared" si="2"/>
        <v>171828</v>
      </c>
      <c r="I11" s="251">
        <f t="shared" si="2"/>
        <v>228549</v>
      </c>
      <c r="J11" s="251">
        <f t="shared" si="2"/>
        <v>294039</v>
      </c>
      <c r="K11" s="251">
        <f t="shared" si="2"/>
        <v>369741</v>
      </c>
      <c r="L11" s="251">
        <f t="shared" si="2"/>
        <v>453324</v>
      </c>
      <c r="M11" s="251">
        <f t="shared" si="2"/>
        <v>543456</v>
      </c>
      <c r="N11" s="251">
        <f t="shared" si="2"/>
        <v>642801</v>
      </c>
      <c r="O11" s="252" t="b">
        <f>EXACT(O10,N11)</f>
        <v>1</v>
      </c>
    </row>
    <row r="14" spans="1:18" x14ac:dyDescent="0.3">
      <c r="B14" s="277" t="s">
        <v>323</v>
      </c>
      <c r="C14" s="280">
        <v>42.981722875610046</v>
      </c>
      <c r="D14" s="280">
        <v>43.088884254032656</v>
      </c>
      <c r="E14" s="280">
        <v>43.068522514975903</v>
      </c>
      <c r="F14" s="280">
        <v>42.931832344104329</v>
      </c>
      <c r="G14" s="280">
        <v>42.572401491903463</v>
      </c>
      <c r="H14" s="280">
        <v>42.552451010364287</v>
      </c>
      <c r="I14" s="280">
        <v>42.675424301418516</v>
      </c>
      <c r="J14" s="280">
        <v>42.534379823411868</v>
      </c>
      <c r="K14" s="280">
        <v>42.442699820608709</v>
      </c>
      <c r="L14" s="280">
        <v>42.611967200528618</v>
      </c>
      <c r="M14" s="280">
        <v>42.673198228242356</v>
      </c>
      <c r="N14" s="280">
        <v>42.569104292768863</v>
      </c>
    </row>
    <row r="17" spans="1:18" x14ac:dyDescent="0.3">
      <c r="A17" t="s">
        <v>318</v>
      </c>
    </row>
    <row r="18" spans="1:18" x14ac:dyDescent="0.3">
      <c r="A18" s="424" t="s">
        <v>73</v>
      </c>
      <c r="B18" s="424"/>
      <c r="C18" s="349">
        <v>1</v>
      </c>
      <c r="D18" s="349">
        <v>2</v>
      </c>
      <c r="E18" s="349">
        <v>3</v>
      </c>
      <c r="F18" s="349">
        <v>4</v>
      </c>
      <c r="G18" s="349">
        <v>5</v>
      </c>
      <c r="H18" s="349">
        <v>6</v>
      </c>
      <c r="I18" s="349">
        <v>7</v>
      </c>
      <c r="J18" s="349">
        <v>8</v>
      </c>
      <c r="K18" s="349">
        <v>9</v>
      </c>
      <c r="L18" s="349">
        <v>10</v>
      </c>
      <c r="M18" s="349">
        <v>11</v>
      </c>
      <c r="N18" s="349">
        <v>12</v>
      </c>
      <c r="O18" s="349" t="s">
        <v>74</v>
      </c>
    </row>
    <row r="19" spans="1:18" x14ac:dyDescent="0.3">
      <c r="A19" s="426" t="s">
        <v>88</v>
      </c>
      <c r="B19" s="235" t="s">
        <v>192</v>
      </c>
      <c r="C19" s="279">
        <f>59-C31</f>
        <v>54</v>
      </c>
      <c r="D19" s="279">
        <f>84-D31</f>
        <v>80</v>
      </c>
      <c r="E19" s="279">
        <f>92-E31</f>
        <v>82</v>
      </c>
      <c r="F19" s="279">
        <f>65-F31</f>
        <v>49</v>
      </c>
      <c r="G19" s="279">
        <f>67-G31</f>
        <v>54</v>
      </c>
      <c r="H19" s="279">
        <f>77-H31</f>
        <v>62</v>
      </c>
      <c r="I19" s="279">
        <f>67-I31</f>
        <v>55</v>
      </c>
      <c r="J19" s="279">
        <f>79-J31</f>
        <v>62</v>
      </c>
      <c r="K19" s="279">
        <f>92-K31</f>
        <v>72</v>
      </c>
      <c r="L19" s="279">
        <f>71-L31</f>
        <v>60</v>
      </c>
      <c r="M19" s="279">
        <f>59-M31</f>
        <v>52</v>
      </c>
      <c r="N19" s="279">
        <f>83-N31</f>
        <v>80</v>
      </c>
      <c r="O19" s="249">
        <f>SUM(C19:N19)</f>
        <v>762</v>
      </c>
    </row>
    <row r="20" spans="1:18" x14ac:dyDescent="0.3">
      <c r="A20" s="426"/>
      <c r="B20" s="243" t="s">
        <v>158</v>
      </c>
      <c r="C20" s="248">
        <f>C19</f>
        <v>54</v>
      </c>
      <c r="D20" s="248">
        <f>C20+D19</f>
        <v>134</v>
      </c>
      <c r="E20" s="248">
        <f t="shared" ref="E20" si="3">D20+E19</f>
        <v>216</v>
      </c>
      <c r="F20" s="248">
        <f t="shared" ref="F20" si="4">E20+F19</f>
        <v>265</v>
      </c>
      <c r="G20" s="248">
        <f t="shared" ref="G20" si="5">F20+G19</f>
        <v>319</v>
      </c>
      <c r="H20" s="248">
        <f t="shared" ref="H20" si="6">G20+H19</f>
        <v>381</v>
      </c>
      <c r="I20" s="248">
        <f t="shared" ref="I20" si="7">H20+I19</f>
        <v>436</v>
      </c>
      <c r="J20" s="248">
        <f t="shared" ref="J20" si="8">I20+J19</f>
        <v>498</v>
      </c>
      <c r="K20" s="248">
        <f t="shared" ref="K20" si="9">J20+K19</f>
        <v>570</v>
      </c>
      <c r="L20" s="248">
        <f t="shared" ref="L20" si="10">K20+L19</f>
        <v>630</v>
      </c>
      <c r="M20" s="248">
        <f t="shared" ref="M20" si="11">L20+M19</f>
        <v>682</v>
      </c>
      <c r="N20" s="248">
        <f t="shared" ref="N20" si="12">M20+N19</f>
        <v>762</v>
      </c>
      <c r="O20" s="70"/>
    </row>
    <row r="21" spans="1:18" ht="17.25" thickBot="1" x14ac:dyDescent="0.35"/>
    <row r="22" spans="1:18" ht="17.25" thickBot="1" x14ac:dyDescent="0.35">
      <c r="A22" s="435" t="s">
        <v>322</v>
      </c>
      <c r="B22" s="235"/>
      <c r="C22" s="67">
        <f>ROUND(C19*$R$22,0)</f>
        <v>5994</v>
      </c>
      <c r="D22" s="67">
        <f t="shared" ref="D22:N22" si="13">ROUND(D19*$R$22,0)</f>
        <v>8880</v>
      </c>
      <c r="E22" s="67">
        <f t="shared" si="13"/>
        <v>9102</v>
      </c>
      <c r="F22" s="67">
        <f t="shared" si="13"/>
        <v>5439</v>
      </c>
      <c r="G22" s="67">
        <f t="shared" si="13"/>
        <v>5994</v>
      </c>
      <c r="H22" s="67">
        <f t="shared" si="13"/>
        <v>6882</v>
      </c>
      <c r="I22" s="67">
        <f t="shared" si="13"/>
        <v>6105</v>
      </c>
      <c r="J22" s="67">
        <f t="shared" si="13"/>
        <v>6882</v>
      </c>
      <c r="K22" s="67">
        <f t="shared" si="13"/>
        <v>7992</v>
      </c>
      <c r="L22" s="67">
        <f t="shared" si="13"/>
        <v>6660</v>
      </c>
      <c r="M22" s="67">
        <f t="shared" si="13"/>
        <v>5772</v>
      </c>
      <c r="N22" s="67">
        <f t="shared" si="13"/>
        <v>8880</v>
      </c>
      <c r="O22" s="67">
        <f>SUM(C22:N22)</f>
        <v>84582</v>
      </c>
      <c r="Q22" s="86" t="s">
        <v>8</v>
      </c>
      <c r="R22" s="260">
        <v>111</v>
      </c>
    </row>
    <row r="23" spans="1:18" x14ac:dyDescent="0.3">
      <c r="A23" s="430"/>
      <c r="B23" s="84" t="s">
        <v>86</v>
      </c>
      <c r="C23" s="68">
        <f>C22</f>
        <v>5994</v>
      </c>
      <c r="D23" s="68">
        <f>C23+D22</f>
        <v>14874</v>
      </c>
      <c r="E23" s="68">
        <f t="shared" ref="E23:E24" si="14">D23+E22</f>
        <v>23976</v>
      </c>
      <c r="F23" s="68">
        <f t="shared" ref="F23" si="15">E23+F22</f>
        <v>29415</v>
      </c>
      <c r="G23" s="68">
        <f t="shared" ref="G23:G24" si="16">F23+G22</f>
        <v>35409</v>
      </c>
      <c r="H23" s="68">
        <f t="shared" ref="H23:H24" si="17">G23+H22</f>
        <v>42291</v>
      </c>
      <c r="I23" s="68">
        <f t="shared" ref="I23:I24" si="18">H23+I22</f>
        <v>48396</v>
      </c>
      <c r="J23" s="68">
        <f t="shared" ref="J23:J24" si="19">I23+J22</f>
        <v>55278</v>
      </c>
      <c r="K23" s="68">
        <f t="shared" ref="K23:K24" si="20">J23+K22</f>
        <v>63270</v>
      </c>
      <c r="L23" s="68">
        <f t="shared" ref="L23:L24" si="21">K23+L22</f>
        <v>69930</v>
      </c>
      <c r="M23" s="68">
        <f t="shared" ref="M23:M24" si="22">L23+M22</f>
        <v>75702</v>
      </c>
      <c r="N23" s="68">
        <f t="shared" ref="N23:N24" si="23">M23+N22</f>
        <v>84582</v>
      </c>
      <c r="O23" s="293">
        <f>SUM(C23:N23)</f>
        <v>549117</v>
      </c>
    </row>
    <row r="24" spans="1:18" ht="17.25" thickBot="1" x14ac:dyDescent="0.35">
      <c r="A24" s="430"/>
      <c r="B24" s="253" t="s">
        <v>87</v>
      </c>
      <c r="C24" s="254">
        <f>C23</f>
        <v>5994</v>
      </c>
      <c r="D24" s="254">
        <f>C24+D23</f>
        <v>20868</v>
      </c>
      <c r="E24" s="254">
        <f t="shared" si="14"/>
        <v>44844</v>
      </c>
      <c r="F24" s="254">
        <f>E24+F23</f>
        <v>74259</v>
      </c>
      <c r="G24" s="254">
        <f t="shared" si="16"/>
        <v>109668</v>
      </c>
      <c r="H24" s="254">
        <f t="shared" si="17"/>
        <v>151959</v>
      </c>
      <c r="I24" s="254">
        <f t="shared" si="18"/>
        <v>200355</v>
      </c>
      <c r="J24" s="254">
        <f t="shared" si="19"/>
        <v>255633</v>
      </c>
      <c r="K24" s="254">
        <f t="shared" si="20"/>
        <v>318903</v>
      </c>
      <c r="L24" s="254">
        <f t="shared" si="21"/>
        <v>388833</v>
      </c>
      <c r="M24" s="254">
        <f t="shared" si="22"/>
        <v>464535</v>
      </c>
      <c r="N24" s="254">
        <f t="shared" si="23"/>
        <v>549117</v>
      </c>
      <c r="O24" s="255" t="b">
        <f>EXACT(O23,N24)</f>
        <v>1</v>
      </c>
    </row>
    <row r="25" spans="1:18" x14ac:dyDescent="0.3">
      <c r="A25" s="436" t="s">
        <v>324</v>
      </c>
      <c r="B25" s="356"/>
      <c r="C25" s="357">
        <f>ROUND(C22*C14,0)</f>
        <v>257632</v>
      </c>
      <c r="D25" s="358">
        <f t="shared" ref="D25:N25" si="24">ROUND(D22*D14,0)</f>
        <v>382629</v>
      </c>
      <c r="E25" s="358">
        <f t="shared" si="24"/>
        <v>392010</v>
      </c>
      <c r="F25" s="358">
        <f t="shared" si="24"/>
        <v>233506</v>
      </c>
      <c r="G25" s="358">
        <f t="shared" si="24"/>
        <v>255179</v>
      </c>
      <c r="H25" s="358">
        <f t="shared" si="24"/>
        <v>292846</v>
      </c>
      <c r="I25" s="358">
        <f t="shared" si="24"/>
        <v>260533</v>
      </c>
      <c r="J25" s="358">
        <f t="shared" si="24"/>
        <v>292722</v>
      </c>
      <c r="K25" s="358">
        <f t="shared" si="24"/>
        <v>339202</v>
      </c>
      <c r="L25" s="358">
        <f t="shared" si="24"/>
        <v>283796</v>
      </c>
      <c r="M25" s="358">
        <f t="shared" si="24"/>
        <v>246310</v>
      </c>
      <c r="N25" s="358">
        <f t="shared" si="24"/>
        <v>378014</v>
      </c>
      <c r="O25" s="359">
        <f>SUM(C25:N25)</f>
        <v>3614379</v>
      </c>
    </row>
    <row r="26" spans="1:18" x14ac:dyDescent="0.3">
      <c r="A26" s="437"/>
      <c r="B26" s="354" t="s">
        <v>86</v>
      </c>
      <c r="C26" s="355">
        <f>C25</f>
        <v>257632</v>
      </c>
      <c r="D26" s="68">
        <f>C26+D25</f>
        <v>640261</v>
      </c>
      <c r="E26" s="68">
        <f t="shared" ref="E26:E27" si="25">D26+E25</f>
        <v>1032271</v>
      </c>
      <c r="F26" s="68">
        <f t="shared" ref="F26" si="26">E26+F25</f>
        <v>1265777</v>
      </c>
      <c r="G26" s="68">
        <f t="shared" ref="G26:G27" si="27">F26+G25</f>
        <v>1520956</v>
      </c>
      <c r="H26" s="68">
        <f t="shared" ref="H26:H27" si="28">G26+H25</f>
        <v>1813802</v>
      </c>
      <c r="I26" s="68">
        <f t="shared" ref="I26:I27" si="29">H26+I25</f>
        <v>2074335</v>
      </c>
      <c r="J26" s="68">
        <f t="shared" ref="J26:J27" si="30">I26+J25</f>
        <v>2367057</v>
      </c>
      <c r="K26" s="68">
        <f t="shared" ref="K26:K27" si="31">J26+K25</f>
        <v>2706259</v>
      </c>
      <c r="L26" s="68">
        <f t="shared" ref="L26:L27" si="32">K26+L25</f>
        <v>2990055</v>
      </c>
      <c r="M26" s="68">
        <f t="shared" ref="M26:M27" si="33">L26+M25</f>
        <v>3236365</v>
      </c>
      <c r="N26" s="68">
        <f t="shared" ref="N26:N27" si="34">M26+N25</f>
        <v>3614379</v>
      </c>
      <c r="O26" s="360">
        <f>SUM(C26:N26)</f>
        <v>23519149</v>
      </c>
    </row>
    <row r="27" spans="1:18" ht="17.25" thickBot="1" x14ac:dyDescent="0.35">
      <c r="A27" s="438"/>
      <c r="B27" s="361" t="s">
        <v>87</v>
      </c>
      <c r="C27" s="362">
        <f>C26</f>
        <v>257632</v>
      </c>
      <c r="D27" s="363">
        <f>C27+D26</f>
        <v>897893</v>
      </c>
      <c r="E27" s="363">
        <f t="shared" si="25"/>
        <v>1930164</v>
      </c>
      <c r="F27" s="363">
        <f>E27+F26</f>
        <v>3195941</v>
      </c>
      <c r="G27" s="363">
        <f t="shared" si="27"/>
        <v>4716897</v>
      </c>
      <c r="H27" s="363">
        <f t="shared" si="28"/>
        <v>6530699</v>
      </c>
      <c r="I27" s="363">
        <f t="shared" si="29"/>
        <v>8605034</v>
      </c>
      <c r="J27" s="363">
        <f t="shared" si="30"/>
        <v>10972091</v>
      </c>
      <c r="K27" s="363">
        <f t="shared" si="31"/>
        <v>13678350</v>
      </c>
      <c r="L27" s="363">
        <f t="shared" si="32"/>
        <v>16668405</v>
      </c>
      <c r="M27" s="363">
        <f t="shared" si="33"/>
        <v>19904770</v>
      </c>
      <c r="N27" s="363">
        <f t="shared" si="34"/>
        <v>23519149</v>
      </c>
      <c r="O27" s="364" t="b">
        <f>EXACT(O26,N27)</f>
        <v>1</v>
      </c>
    </row>
    <row r="29" spans="1:18" x14ac:dyDescent="0.3">
      <c r="A29" t="s">
        <v>321</v>
      </c>
    </row>
    <row r="30" spans="1:18" x14ac:dyDescent="0.3">
      <c r="A30" s="424" t="s">
        <v>73</v>
      </c>
      <c r="B30" s="424"/>
      <c r="C30" s="349">
        <v>1</v>
      </c>
      <c r="D30" s="349">
        <v>2</v>
      </c>
      <c r="E30" s="349">
        <v>3</v>
      </c>
      <c r="F30" s="349">
        <v>4</v>
      </c>
      <c r="G30" s="349">
        <v>5</v>
      </c>
      <c r="H30" s="349">
        <v>6</v>
      </c>
      <c r="I30" s="349">
        <v>7</v>
      </c>
      <c r="J30" s="349">
        <v>8</v>
      </c>
      <c r="K30" s="349">
        <v>9</v>
      </c>
      <c r="L30" s="349">
        <v>10</v>
      </c>
      <c r="M30" s="349">
        <v>11</v>
      </c>
      <c r="N30" s="349">
        <v>12</v>
      </c>
      <c r="O30" s="349" t="s">
        <v>74</v>
      </c>
    </row>
    <row r="31" spans="1:18" x14ac:dyDescent="0.3">
      <c r="A31" s="426" t="s">
        <v>88</v>
      </c>
      <c r="B31" s="235" t="s">
        <v>192</v>
      </c>
      <c r="C31" s="279">
        <v>5</v>
      </c>
      <c r="D31" s="279">
        <v>4</v>
      </c>
      <c r="E31" s="279">
        <v>10</v>
      </c>
      <c r="F31" s="279">
        <v>16</v>
      </c>
      <c r="G31" s="279">
        <v>13</v>
      </c>
      <c r="H31" s="279">
        <v>15</v>
      </c>
      <c r="I31" s="279">
        <v>12</v>
      </c>
      <c r="J31" s="279">
        <v>17</v>
      </c>
      <c r="K31" s="279">
        <v>20</v>
      </c>
      <c r="L31" s="279">
        <v>11</v>
      </c>
      <c r="M31" s="279">
        <v>7</v>
      </c>
      <c r="N31" s="279">
        <v>3</v>
      </c>
      <c r="O31" s="249">
        <f>SUM(C31:N31)</f>
        <v>133</v>
      </c>
      <c r="Q31" t="s">
        <v>336</v>
      </c>
    </row>
    <row r="32" spans="1:18" x14ac:dyDescent="0.3">
      <c r="A32" s="426"/>
      <c r="B32" s="243" t="s">
        <v>158</v>
      </c>
      <c r="C32" s="248">
        <f>C31</f>
        <v>5</v>
      </c>
      <c r="D32" s="248">
        <f>C32+D31</f>
        <v>9</v>
      </c>
      <c r="E32" s="248">
        <f t="shared" ref="E32" si="35">D32+E31</f>
        <v>19</v>
      </c>
      <c r="F32" s="248">
        <f t="shared" ref="F32" si="36">E32+F31</f>
        <v>35</v>
      </c>
      <c r="G32" s="248">
        <f t="shared" ref="G32" si="37">F32+G31</f>
        <v>48</v>
      </c>
      <c r="H32" s="248">
        <f t="shared" ref="H32" si="38">G32+H31</f>
        <v>63</v>
      </c>
      <c r="I32" s="248">
        <f t="shared" ref="I32" si="39">H32+I31</f>
        <v>75</v>
      </c>
      <c r="J32" s="248">
        <f t="shared" ref="J32" si="40">I32+J31</f>
        <v>92</v>
      </c>
      <c r="K32" s="248">
        <f t="shared" ref="K32" si="41">J32+K31</f>
        <v>112</v>
      </c>
      <c r="L32" s="248">
        <f t="shared" ref="L32" si="42">K32+L31</f>
        <v>123</v>
      </c>
      <c r="M32" s="248">
        <f t="shared" ref="M32" si="43">L32+M31</f>
        <v>130</v>
      </c>
      <c r="N32" s="248">
        <f t="shared" ref="N32" si="44">M32+N31</f>
        <v>133</v>
      </c>
      <c r="O32" s="70"/>
    </row>
    <row r="34" spans="1:17" x14ac:dyDescent="0.3">
      <c r="A34" s="435" t="s">
        <v>322</v>
      </c>
      <c r="B34" s="235" t="s">
        <v>319</v>
      </c>
      <c r="C34" s="67">
        <v>1408.3431</v>
      </c>
      <c r="D34" s="67">
        <v>2946.3368999999998</v>
      </c>
      <c r="E34" s="67">
        <v>7509.8436000000002</v>
      </c>
      <c r="F34" s="67">
        <v>13912.2129</v>
      </c>
      <c r="G34" s="67">
        <v>23036.257200000004</v>
      </c>
      <c r="H34" s="67">
        <v>30195.337499999998</v>
      </c>
      <c r="I34" s="67">
        <v>33151.664699999994</v>
      </c>
      <c r="J34" s="67">
        <v>35657.055</v>
      </c>
      <c r="K34" s="67">
        <v>42786.487799999988</v>
      </c>
      <c r="L34" s="67">
        <v>45476.839799999965</v>
      </c>
      <c r="M34" s="67">
        <v>54709.099200000004</v>
      </c>
      <c r="N34" s="67">
        <v>62991.822600000021</v>
      </c>
      <c r="O34" s="67">
        <f>SUM(C34:N34)</f>
        <v>353781.30029999994</v>
      </c>
    </row>
    <row r="35" spans="1:17" x14ac:dyDescent="0.3">
      <c r="A35" s="430"/>
      <c r="B35" s="84" t="s">
        <v>86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293"/>
    </row>
    <row r="36" spans="1:17" x14ac:dyDescent="0.3">
      <c r="A36" s="431"/>
      <c r="B36" s="250" t="s">
        <v>87</v>
      </c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2"/>
    </row>
    <row r="37" spans="1:17" ht="7.5" customHeight="1" thickBot="1" x14ac:dyDescent="0.35"/>
    <row r="38" spans="1:17" ht="19.5" customHeight="1" thickBot="1" x14ac:dyDescent="0.35">
      <c r="A38" s="365" t="s">
        <v>325</v>
      </c>
      <c r="B38" s="366" t="s">
        <v>319</v>
      </c>
      <c r="C38" s="367">
        <v>60527.7935</v>
      </c>
      <c r="D38" s="368">
        <v>126599.47770000002</v>
      </c>
      <c r="E38" s="368">
        <v>323826.11560000002</v>
      </c>
      <c r="F38" s="368">
        <v>598936.5037</v>
      </c>
      <c r="G38" s="368">
        <v>988157.75869999989</v>
      </c>
      <c r="H38" s="368">
        <v>1284795.8098000002</v>
      </c>
      <c r="I38" s="368">
        <v>1411474.6172999998</v>
      </c>
      <c r="J38" s="368">
        <v>1521657.2708000003</v>
      </c>
      <c r="K38" s="368">
        <v>1818856.4134999991</v>
      </c>
      <c r="L38" s="368">
        <v>1930189.1465999994</v>
      </c>
      <c r="M38" s="368">
        <v>2332766.4275000007</v>
      </c>
      <c r="N38" s="368">
        <v>2685453.7100999989</v>
      </c>
      <c r="O38" s="369">
        <f>SUM(C38:N38)</f>
        <v>15083241.044799997</v>
      </c>
      <c r="Q38" t="s">
        <v>336</v>
      </c>
    </row>
    <row r="39" spans="1:17" ht="17.25" thickBot="1" x14ac:dyDescent="0.35"/>
    <row r="40" spans="1:17" ht="17.25" thickBot="1" x14ac:dyDescent="0.35">
      <c r="A40" s="441" t="s">
        <v>320</v>
      </c>
      <c r="B40" s="442"/>
      <c r="C40" s="350">
        <f>C23+C34</f>
        <v>7402.3431</v>
      </c>
      <c r="D40" s="350">
        <f t="shared" ref="D40:N40" si="45">D23+D34</f>
        <v>17820.336899999998</v>
      </c>
      <c r="E40" s="350">
        <f t="shared" si="45"/>
        <v>31485.8436</v>
      </c>
      <c r="F40" s="350">
        <f t="shared" si="45"/>
        <v>43327.212899999999</v>
      </c>
      <c r="G40" s="350">
        <f t="shared" si="45"/>
        <v>58445.257200000007</v>
      </c>
      <c r="H40" s="350">
        <f t="shared" si="45"/>
        <v>72486.337499999994</v>
      </c>
      <c r="I40" s="350">
        <f t="shared" si="45"/>
        <v>81547.664699999994</v>
      </c>
      <c r="J40" s="350">
        <f t="shared" si="45"/>
        <v>90935.054999999993</v>
      </c>
      <c r="K40" s="350">
        <f t="shared" si="45"/>
        <v>106056.48779999999</v>
      </c>
      <c r="L40" s="350">
        <f t="shared" si="45"/>
        <v>115406.83979999996</v>
      </c>
      <c r="M40" s="350">
        <f t="shared" si="45"/>
        <v>130411.0992</v>
      </c>
      <c r="N40" s="350">
        <f t="shared" si="45"/>
        <v>147573.82260000001</v>
      </c>
      <c r="O40" s="351">
        <f>SUM(C40:N40)</f>
        <v>902898.3003</v>
      </c>
      <c r="Q40" s="353">
        <f>O40/Q45</f>
        <v>1.0788088755466341</v>
      </c>
    </row>
    <row r="41" spans="1:17" ht="17.25" thickBot="1" x14ac:dyDescent="0.35"/>
    <row r="42" spans="1:17" ht="17.25" thickBot="1" x14ac:dyDescent="0.35">
      <c r="A42" s="439" t="s">
        <v>326</v>
      </c>
      <c r="B42" s="440"/>
      <c r="C42" s="370">
        <f>C26+C38</f>
        <v>318159.79350000003</v>
      </c>
      <c r="D42" s="370">
        <f t="shared" ref="D42:N42" si="46">D26+D38</f>
        <v>766860.47770000005</v>
      </c>
      <c r="E42" s="370">
        <f t="shared" si="46"/>
        <v>1356097.1156000001</v>
      </c>
      <c r="F42" s="370">
        <f t="shared" si="46"/>
        <v>1864713.5037</v>
      </c>
      <c r="G42" s="370">
        <f t="shared" si="46"/>
        <v>2509113.7587000001</v>
      </c>
      <c r="H42" s="370">
        <f t="shared" si="46"/>
        <v>3098597.8097999999</v>
      </c>
      <c r="I42" s="370">
        <f t="shared" si="46"/>
        <v>3485809.6173</v>
      </c>
      <c r="J42" s="370">
        <f t="shared" si="46"/>
        <v>3888714.2708000001</v>
      </c>
      <c r="K42" s="370">
        <f t="shared" si="46"/>
        <v>4525115.4134999989</v>
      </c>
      <c r="L42" s="370">
        <f t="shared" si="46"/>
        <v>4920244.1465999996</v>
      </c>
      <c r="M42" s="370">
        <f t="shared" si="46"/>
        <v>5569131.4275000002</v>
      </c>
      <c r="N42" s="370">
        <f t="shared" si="46"/>
        <v>6299832.7100999989</v>
      </c>
      <c r="O42" s="371">
        <f>SUM(C42:N42)</f>
        <v>38602390.044799998</v>
      </c>
    </row>
    <row r="45" spans="1:17" x14ac:dyDescent="0.3">
      <c r="A45" s="429" t="s">
        <v>88</v>
      </c>
      <c r="B45" s="235" t="s">
        <v>319</v>
      </c>
      <c r="C45" s="67">
        <v>626.48009999999999</v>
      </c>
      <c r="D45" s="67">
        <v>11767.532999999998</v>
      </c>
      <c r="E45" s="67">
        <v>24690.045899999994</v>
      </c>
      <c r="F45" s="67">
        <v>45890.409599999984</v>
      </c>
      <c r="G45" s="67">
        <v>64250.33429999998</v>
      </c>
      <c r="H45" s="67">
        <v>80425.930200000032</v>
      </c>
      <c r="I45" s="67">
        <v>95966.385600000023</v>
      </c>
      <c r="J45" s="67">
        <v>104759.53740000002</v>
      </c>
      <c r="K45" s="67">
        <v>117263.73959999997</v>
      </c>
      <c r="L45" s="67">
        <v>131130.92160000006</v>
      </c>
      <c r="M45" s="67">
        <v>148248.28620000021</v>
      </c>
      <c r="N45" s="67">
        <v>169614.8243999999</v>
      </c>
      <c r="O45" s="67">
        <f>SUM(C45:N45)</f>
        <v>994634.42790000013</v>
      </c>
      <c r="Q45" s="352">
        <v>836940</v>
      </c>
    </row>
    <row r="46" spans="1:17" x14ac:dyDescent="0.3">
      <c r="A46" s="430"/>
      <c r="B46" s="84" t="s">
        <v>86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293"/>
      <c r="Q46" s="353">
        <f>O45/Q45</f>
        <v>1.1884178410638757</v>
      </c>
    </row>
    <row r="47" spans="1:17" x14ac:dyDescent="0.3">
      <c r="A47" s="431"/>
      <c r="B47" s="250" t="s">
        <v>87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2"/>
    </row>
    <row r="50" spans="1:4" ht="17.25" thickBot="1" x14ac:dyDescent="0.35">
      <c r="B50" t="s">
        <v>335</v>
      </c>
    </row>
    <row r="51" spans="1:4" ht="17.25" thickTop="1" x14ac:dyDescent="0.3">
      <c r="A51" t="s">
        <v>329</v>
      </c>
      <c r="B51" s="373">
        <v>544269</v>
      </c>
      <c r="C51" s="374">
        <v>477510</v>
      </c>
      <c r="D51" s="375">
        <f>C51/B51</f>
        <v>0.87734190262535616</v>
      </c>
    </row>
    <row r="52" spans="1:4" x14ac:dyDescent="0.3">
      <c r="A52" t="s">
        <v>330</v>
      </c>
      <c r="B52" s="376">
        <v>61234</v>
      </c>
      <c r="C52" s="377">
        <v>37017</v>
      </c>
      <c r="D52" s="378">
        <f>C52/B52</f>
        <v>0.6045170983440572</v>
      </c>
    </row>
    <row r="53" spans="1:4" x14ac:dyDescent="0.3">
      <c r="A53" t="s">
        <v>331</v>
      </c>
      <c r="B53" s="379">
        <v>605503</v>
      </c>
      <c r="C53" s="380">
        <v>514527</v>
      </c>
      <c r="D53" s="381">
        <f>C53/B53</f>
        <v>0.84975136374221105</v>
      </c>
    </row>
    <row r="54" spans="1:4" x14ac:dyDescent="0.3">
      <c r="A54" t="s">
        <v>332</v>
      </c>
      <c r="B54" s="376">
        <v>35695</v>
      </c>
      <c r="C54" s="377">
        <v>23519</v>
      </c>
      <c r="D54" s="378">
        <f>SUM(C54:C55)/B54</f>
        <v>1.0812158565625438</v>
      </c>
    </row>
    <row r="55" spans="1:4" x14ac:dyDescent="0.3">
      <c r="B55" s="382"/>
      <c r="C55" s="377">
        <v>15075</v>
      </c>
      <c r="D55" s="383"/>
    </row>
    <row r="56" spans="1:4" x14ac:dyDescent="0.3">
      <c r="B56" s="379">
        <v>35695</v>
      </c>
      <c r="C56" s="380">
        <v>38594</v>
      </c>
      <c r="D56" s="381">
        <f>C56/B56</f>
        <v>1.0812158565625438</v>
      </c>
    </row>
    <row r="57" spans="1:4" x14ac:dyDescent="0.3">
      <c r="B57" s="372">
        <f>B56+B53</f>
        <v>641198</v>
      </c>
      <c r="C57" s="372">
        <f>C56+C53</f>
        <v>553121</v>
      </c>
      <c r="D57" s="384">
        <f>C57/B57</f>
        <v>0.86263681421339433</v>
      </c>
    </row>
    <row r="59" spans="1:4" x14ac:dyDescent="0.3">
      <c r="A59" t="s">
        <v>327</v>
      </c>
      <c r="B59" s="376">
        <v>56955</v>
      </c>
      <c r="C59" s="385">
        <v>59421</v>
      </c>
      <c r="D59" s="386">
        <f>C59/B59</f>
        <v>1.0432973400052674</v>
      </c>
    </row>
    <row r="60" spans="1:4" x14ac:dyDescent="0.3">
      <c r="A60" t="s">
        <v>328</v>
      </c>
      <c r="B60" s="376">
        <v>34256</v>
      </c>
      <c r="C60" s="385">
        <v>38454</v>
      </c>
      <c r="D60" s="386">
        <f>C60/B60</f>
        <v>1.1225478748248483</v>
      </c>
    </row>
    <row r="61" spans="1:4" x14ac:dyDescent="0.3">
      <c r="B61" s="379">
        <f>SUM(B59:B60)</f>
        <v>91211</v>
      </c>
      <c r="C61" s="387">
        <f>SUM(C59:C60)</f>
        <v>97875</v>
      </c>
      <c r="D61" s="388">
        <f>C61/B61</f>
        <v>1.0730613632127703</v>
      </c>
    </row>
    <row r="62" spans="1:4" x14ac:dyDescent="0.3">
      <c r="A62" t="s">
        <v>334</v>
      </c>
      <c r="B62" s="372">
        <f>B57+B61</f>
        <v>732409</v>
      </c>
      <c r="C62" s="372">
        <f>C57+C61</f>
        <v>650996</v>
      </c>
      <c r="D62" s="353">
        <f>C62/B62</f>
        <v>0.88884216332677501</v>
      </c>
    </row>
    <row r="63" spans="1:4" x14ac:dyDescent="0.3">
      <c r="A63" t="s">
        <v>333</v>
      </c>
      <c r="B63">
        <v>2691</v>
      </c>
    </row>
    <row r="64" spans="1:4" x14ac:dyDescent="0.3">
      <c r="B64" s="372">
        <f>SUM(B62:B63)</f>
        <v>735100</v>
      </c>
      <c r="C64" s="372">
        <f>SUM(C62:C63)</f>
        <v>650996</v>
      </c>
      <c r="D64">
        <f>C64/B64</f>
        <v>0.88558835532580604</v>
      </c>
    </row>
  </sheetData>
  <mergeCells count="13">
    <mergeCell ref="A45:A47"/>
    <mergeCell ref="A22:A24"/>
    <mergeCell ref="A25:A27"/>
    <mergeCell ref="A42:B42"/>
    <mergeCell ref="A5:B5"/>
    <mergeCell ref="A6:A7"/>
    <mergeCell ref="A9:A11"/>
    <mergeCell ref="A18:B18"/>
    <mergeCell ref="A19:A20"/>
    <mergeCell ref="A30:B30"/>
    <mergeCell ref="A31:A32"/>
    <mergeCell ref="A34:A36"/>
    <mergeCell ref="A40:B4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1">
    <pageSetUpPr fitToPage="1"/>
  </sheetPr>
  <dimension ref="A1:V35"/>
  <sheetViews>
    <sheetView showGridLines="0" zoomScaleNormal="100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D19" sqref="D19"/>
    </sheetView>
  </sheetViews>
  <sheetFormatPr defaultColWidth="8.75" defaultRowHeight="21.75" customHeight="1" x14ac:dyDescent="0.3"/>
  <cols>
    <col min="1" max="1" width="17.375" style="41" customWidth="1"/>
    <col min="2" max="14" width="12.125" style="41" customWidth="1"/>
    <col min="15" max="255" width="8.75" style="41"/>
    <col min="256" max="256" width="8.75" style="41" customWidth="1"/>
    <col min="257" max="257" width="10.25" style="41" customWidth="1"/>
    <col min="258" max="270" width="12.125" style="41" customWidth="1"/>
    <col min="271" max="511" width="8.75" style="41"/>
    <col min="512" max="512" width="8.75" style="41" customWidth="1"/>
    <col min="513" max="513" width="10.25" style="41" customWidth="1"/>
    <col min="514" max="526" width="12.125" style="41" customWidth="1"/>
    <col min="527" max="767" width="8.75" style="41"/>
    <col min="768" max="768" width="8.75" style="41" customWidth="1"/>
    <col min="769" max="769" width="10.25" style="41" customWidth="1"/>
    <col min="770" max="782" width="12.125" style="41" customWidth="1"/>
    <col min="783" max="1023" width="8.75" style="41"/>
    <col min="1024" max="1024" width="8.75" style="41" customWidth="1"/>
    <col min="1025" max="1025" width="10.25" style="41" customWidth="1"/>
    <col min="1026" max="1038" width="12.125" style="41" customWidth="1"/>
    <col min="1039" max="1279" width="8.75" style="41"/>
    <col min="1280" max="1280" width="8.75" style="41" customWidth="1"/>
    <col min="1281" max="1281" width="10.25" style="41" customWidth="1"/>
    <col min="1282" max="1294" width="12.125" style="41" customWidth="1"/>
    <col min="1295" max="1535" width="8.75" style="41"/>
    <col min="1536" max="1536" width="8.75" style="41" customWidth="1"/>
    <col min="1537" max="1537" width="10.25" style="41" customWidth="1"/>
    <col min="1538" max="1550" width="12.125" style="41" customWidth="1"/>
    <col min="1551" max="1791" width="8.75" style="41"/>
    <col min="1792" max="1792" width="8.75" style="41" customWidth="1"/>
    <col min="1793" max="1793" width="10.25" style="41" customWidth="1"/>
    <col min="1794" max="1806" width="12.125" style="41" customWidth="1"/>
    <col min="1807" max="2047" width="8.75" style="41"/>
    <col min="2048" max="2048" width="8.75" style="41" customWidth="1"/>
    <col min="2049" max="2049" width="10.25" style="41" customWidth="1"/>
    <col min="2050" max="2062" width="12.125" style="41" customWidth="1"/>
    <col min="2063" max="2303" width="8.75" style="41"/>
    <col min="2304" max="2304" width="8.75" style="41" customWidth="1"/>
    <col min="2305" max="2305" width="10.25" style="41" customWidth="1"/>
    <col min="2306" max="2318" width="12.125" style="41" customWidth="1"/>
    <col min="2319" max="2559" width="8.75" style="41"/>
    <col min="2560" max="2560" width="8.75" style="41" customWidth="1"/>
    <col min="2561" max="2561" width="10.25" style="41" customWidth="1"/>
    <col min="2562" max="2574" width="12.125" style="41" customWidth="1"/>
    <col min="2575" max="2815" width="8.75" style="41"/>
    <col min="2816" max="2816" width="8.75" style="41" customWidth="1"/>
    <col min="2817" max="2817" width="10.25" style="41" customWidth="1"/>
    <col min="2818" max="2830" width="12.125" style="41" customWidth="1"/>
    <col min="2831" max="3071" width="8.75" style="41"/>
    <col min="3072" max="3072" width="8.75" style="41" customWidth="1"/>
    <col min="3073" max="3073" width="10.25" style="41" customWidth="1"/>
    <col min="3074" max="3086" width="12.125" style="41" customWidth="1"/>
    <col min="3087" max="3327" width="8.75" style="41"/>
    <col min="3328" max="3328" width="8.75" style="41" customWidth="1"/>
    <col min="3329" max="3329" width="10.25" style="41" customWidth="1"/>
    <col min="3330" max="3342" width="12.125" style="41" customWidth="1"/>
    <col min="3343" max="3583" width="8.75" style="41"/>
    <col min="3584" max="3584" width="8.75" style="41" customWidth="1"/>
    <col min="3585" max="3585" width="10.25" style="41" customWidth="1"/>
    <col min="3586" max="3598" width="12.125" style="41" customWidth="1"/>
    <col min="3599" max="3839" width="8.75" style="41"/>
    <col min="3840" max="3840" width="8.75" style="41" customWidth="1"/>
    <col min="3841" max="3841" width="10.25" style="41" customWidth="1"/>
    <col min="3842" max="3854" width="12.125" style="41" customWidth="1"/>
    <col min="3855" max="4095" width="8.75" style="41"/>
    <col min="4096" max="4096" width="8.75" style="41" customWidth="1"/>
    <col min="4097" max="4097" width="10.25" style="41" customWidth="1"/>
    <col min="4098" max="4110" width="12.125" style="41" customWidth="1"/>
    <col min="4111" max="4351" width="8.75" style="41"/>
    <col min="4352" max="4352" width="8.75" style="41" customWidth="1"/>
    <col min="4353" max="4353" width="10.25" style="41" customWidth="1"/>
    <col min="4354" max="4366" width="12.125" style="41" customWidth="1"/>
    <col min="4367" max="4607" width="8.75" style="41"/>
    <col min="4608" max="4608" width="8.75" style="41" customWidth="1"/>
    <col min="4609" max="4609" width="10.25" style="41" customWidth="1"/>
    <col min="4610" max="4622" width="12.125" style="41" customWidth="1"/>
    <col min="4623" max="4863" width="8.75" style="41"/>
    <col min="4864" max="4864" width="8.75" style="41" customWidth="1"/>
    <col min="4865" max="4865" width="10.25" style="41" customWidth="1"/>
    <col min="4866" max="4878" width="12.125" style="41" customWidth="1"/>
    <col min="4879" max="5119" width="8.75" style="41"/>
    <col min="5120" max="5120" width="8.75" style="41" customWidth="1"/>
    <col min="5121" max="5121" width="10.25" style="41" customWidth="1"/>
    <col min="5122" max="5134" width="12.125" style="41" customWidth="1"/>
    <col min="5135" max="5375" width="8.75" style="41"/>
    <col min="5376" max="5376" width="8.75" style="41" customWidth="1"/>
    <col min="5377" max="5377" width="10.25" style="41" customWidth="1"/>
    <col min="5378" max="5390" width="12.125" style="41" customWidth="1"/>
    <col min="5391" max="5631" width="8.75" style="41"/>
    <col min="5632" max="5632" width="8.75" style="41" customWidth="1"/>
    <col min="5633" max="5633" width="10.25" style="41" customWidth="1"/>
    <col min="5634" max="5646" width="12.125" style="41" customWidth="1"/>
    <col min="5647" max="5887" width="8.75" style="41"/>
    <col min="5888" max="5888" width="8.75" style="41" customWidth="1"/>
    <col min="5889" max="5889" width="10.25" style="41" customWidth="1"/>
    <col min="5890" max="5902" width="12.125" style="41" customWidth="1"/>
    <col min="5903" max="6143" width="8.75" style="41"/>
    <col min="6144" max="6144" width="8.75" style="41" customWidth="1"/>
    <col min="6145" max="6145" width="10.25" style="41" customWidth="1"/>
    <col min="6146" max="6158" width="12.125" style="41" customWidth="1"/>
    <col min="6159" max="6399" width="8.75" style="41"/>
    <col min="6400" max="6400" width="8.75" style="41" customWidth="1"/>
    <col min="6401" max="6401" width="10.25" style="41" customWidth="1"/>
    <col min="6402" max="6414" width="12.125" style="41" customWidth="1"/>
    <col min="6415" max="6655" width="8.75" style="41"/>
    <col min="6656" max="6656" width="8.75" style="41" customWidth="1"/>
    <col min="6657" max="6657" width="10.25" style="41" customWidth="1"/>
    <col min="6658" max="6670" width="12.125" style="41" customWidth="1"/>
    <col min="6671" max="6911" width="8.75" style="41"/>
    <col min="6912" max="6912" width="8.75" style="41" customWidth="1"/>
    <col min="6913" max="6913" width="10.25" style="41" customWidth="1"/>
    <col min="6914" max="6926" width="12.125" style="41" customWidth="1"/>
    <col min="6927" max="7167" width="8.75" style="41"/>
    <col min="7168" max="7168" width="8.75" style="41" customWidth="1"/>
    <col min="7169" max="7169" width="10.25" style="41" customWidth="1"/>
    <col min="7170" max="7182" width="12.125" style="41" customWidth="1"/>
    <col min="7183" max="7423" width="8.75" style="41"/>
    <col min="7424" max="7424" width="8.75" style="41" customWidth="1"/>
    <col min="7425" max="7425" width="10.25" style="41" customWidth="1"/>
    <col min="7426" max="7438" width="12.125" style="41" customWidth="1"/>
    <col min="7439" max="7679" width="8.75" style="41"/>
    <col min="7680" max="7680" width="8.75" style="41" customWidth="1"/>
    <col min="7681" max="7681" width="10.25" style="41" customWidth="1"/>
    <col min="7682" max="7694" width="12.125" style="41" customWidth="1"/>
    <col min="7695" max="7935" width="8.75" style="41"/>
    <col min="7936" max="7936" width="8.75" style="41" customWidth="1"/>
    <col min="7937" max="7937" width="10.25" style="41" customWidth="1"/>
    <col min="7938" max="7950" width="12.125" style="41" customWidth="1"/>
    <col min="7951" max="8191" width="8.75" style="41"/>
    <col min="8192" max="8192" width="8.75" style="41" customWidth="1"/>
    <col min="8193" max="8193" width="10.25" style="41" customWidth="1"/>
    <col min="8194" max="8206" width="12.125" style="41" customWidth="1"/>
    <col min="8207" max="8447" width="8.75" style="41"/>
    <col min="8448" max="8448" width="8.75" style="41" customWidth="1"/>
    <col min="8449" max="8449" width="10.25" style="41" customWidth="1"/>
    <col min="8450" max="8462" width="12.125" style="41" customWidth="1"/>
    <col min="8463" max="8703" width="8.75" style="41"/>
    <col min="8704" max="8704" width="8.75" style="41" customWidth="1"/>
    <col min="8705" max="8705" width="10.25" style="41" customWidth="1"/>
    <col min="8706" max="8718" width="12.125" style="41" customWidth="1"/>
    <col min="8719" max="8959" width="8.75" style="41"/>
    <col min="8960" max="8960" width="8.75" style="41" customWidth="1"/>
    <col min="8961" max="8961" width="10.25" style="41" customWidth="1"/>
    <col min="8962" max="8974" width="12.125" style="41" customWidth="1"/>
    <col min="8975" max="9215" width="8.75" style="41"/>
    <col min="9216" max="9216" width="8.75" style="41" customWidth="1"/>
    <col min="9217" max="9217" width="10.25" style="41" customWidth="1"/>
    <col min="9218" max="9230" width="12.125" style="41" customWidth="1"/>
    <col min="9231" max="9471" width="8.75" style="41"/>
    <col min="9472" max="9472" width="8.75" style="41" customWidth="1"/>
    <col min="9473" max="9473" width="10.25" style="41" customWidth="1"/>
    <col min="9474" max="9486" width="12.125" style="41" customWidth="1"/>
    <col min="9487" max="9727" width="8.75" style="41"/>
    <col min="9728" max="9728" width="8.75" style="41" customWidth="1"/>
    <col min="9729" max="9729" width="10.25" style="41" customWidth="1"/>
    <col min="9730" max="9742" width="12.125" style="41" customWidth="1"/>
    <col min="9743" max="9983" width="8.75" style="41"/>
    <col min="9984" max="9984" width="8.75" style="41" customWidth="1"/>
    <col min="9985" max="9985" width="10.25" style="41" customWidth="1"/>
    <col min="9986" max="9998" width="12.125" style="41" customWidth="1"/>
    <col min="9999" max="10239" width="8.75" style="41"/>
    <col min="10240" max="10240" width="8.75" style="41" customWidth="1"/>
    <col min="10241" max="10241" width="10.25" style="41" customWidth="1"/>
    <col min="10242" max="10254" width="12.125" style="41" customWidth="1"/>
    <col min="10255" max="10495" width="8.75" style="41"/>
    <col min="10496" max="10496" width="8.75" style="41" customWidth="1"/>
    <col min="10497" max="10497" width="10.25" style="41" customWidth="1"/>
    <col min="10498" max="10510" width="12.125" style="41" customWidth="1"/>
    <col min="10511" max="10751" width="8.75" style="41"/>
    <col min="10752" max="10752" width="8.75" style="41" customWidth="1"/>
    <col min="10753" max="10753" width="10.25" style="41" customWidth="1"/>
    <col min="10754" max="10766" width="12.125" style="41" customWidth="1"/>
    <col min="10767" max="11007" width="8.75" style="41"/>
    <col min="11008" max="11008" width="8.75" style="41" customWidth="1"/>
    <col min="11009" max="11009" width="10.25" style="41" customWidth="1"/>
    <col min="11010" max="11022" width="12.125" style="41" customWidth="1"/>
    <col min="11023" max="11263" width="8.75" style="41"/>
    <col min="11264" max="11264" width="8.75" style="41" customWidth="1"/>
    <col min="11265" max="11265" width="10.25" style="41" customWidth="1"/>
    <col min="11266" max="11278" width="12.125" style="41" customWidth="1"/>
    <col min="11279" max="11519" width="8.75" style="41"/>
    <col min="11520" max="11520" width="8.75" style="41" customWidth="1"/>
    <col min="11521" max="11521" width="10.25" style="41" customWidth="1"/>
    <col min="11522" max="11534" width="12.125" style="41" customWidth="1"/>
    <col min="11535" max="11775" width="8.75" style="41"/>
    <col min="11776" max="11776" width="8.75" style="41" customWidth="1"/>
    <col min="11777" max="11777" width="10.25" style="41" customWidth="1"/>
    <col min="11778" max="11790" width="12.125" style="41" customWidth="1"/>
    <col min="11791" max="12031" width="8.75" style="41"/>
    <col min="12032" max="12032" width="8.75" style="41" customWidth="1"/>
    <col min="12033" max="12033" width="10.25" style="41" customWidth="1"/>
    <col min="12034" max="12046" width="12.125" style="41" customWidth="1"/>
    <col min="12047" max="12287" width="8.75" style="41"/>
    <col min="12288" max="12288" width="8.75" style="41" customWidth="1"/>
    <col min="12289" max="12289" width="10.25" style="41" customWidth="1"/>
    <col min="12290" max="12302" width="12.125" style="41" customWidth="1"/>
    <col min="12303" max="12543" width="8.75" style="41"/>
    <col min="12544" max="12544" width="8.75" style="41" customWidth="1"/>
    <col min="12545" max="12545" width="10.25" style="41" customWidth="1"/>
    <col min="12546" max="12558" width="12.125" style="41" customWidth="1"/>
    <col min="12559" max="12799" width="8.75" style="41"/>
    <col min="12800" max="12800" width="8.75" style="41" customWidth="1"/>
    <col min="12801" max="12801" width="10.25" style="41" customWidth="1"/>
    <col min="12802" max="12814" width="12.125" style="41" customWidth="1"/>
    <col min="12815" max="13055" width="8.75" style="41"/>
    <col min="13056" max="13056" width="8.75" style="41" customWidth="1"/>
    <col min="13057" max="13057" width="10.25" style="41" customWidth="1"/>
    <col min="13058" max="13070" width="12.125" style="41" customWidth="1"/>
    <col min="13071" max="13311" width="8.75" style="41"/>
    <col min="13312" max="13312" width="8.75" style="41" customWidth="1"/>
    <col min="13313" max="13313" width="10.25" style="41" customWidth="1"/>
    <col min="13314" max="13326" width="12.125" style="41" customWidth="1"/>
    <col min="13327" max="13567" width="8.75" style="41"/>
    <col min="13568" max="13568" width="8.75" style="41" customWidth="1"/>
    <col min="13569" max="13569" width="10.25" style="41" customWidth="1"/>
    <col min="13570" max="13582" width="12.125" style="41" customWidth="1"/>
    <col min="13583" max="13823" width="8.75" style="41"/>
    <col min="13824" max="13824" width="8.75" style="41" customWidth="1"/>
    <col min="13825" max="13825" width="10.25" style="41" customWidth="1"/>
    <col min="13826" max="13838" width="12.125" style="41" customWidth="1"/>
    <col min="13839" max="14079" width="8.75" style="41"/>
    <col min="14080" max="14080" width="8.75" style="41" customWidth="1"/>
    <col min="14081" max="14081" width="10.25" style="41" customWidth="1"/>
    <col min="14082" max="14094" width="12.125" style="41" customWidth="1"/>
    <col min="14095" max="14335" width="8.75" style="41"/>
    <col min="14336" max="14336" width="8.75" style="41" customWidth="1"/>
    <col min="14337" max="14337" width="10.25" style="41" customWidth="1"/>
    <col min="14338" max="14350" width="12.125" style="41" customWidth="1"/>
    <col min="14351" max="14591" width="8.75" style="41"/>
    <col min="14592" max="14592" width="8.75" style="41" customWidth="1"/>
    <col min="14593" max="14593" width="10.25" style="41" customWidth="1"/>
    <col min="14594" max="14606" width="12.125" style="41" customWidth="1"/>
    <col min="14607" max="14847" width="8.75" style="41"/>
    <col min="14848" max="14848" width="8.75" style="41" customWidth="1"/>
    <col min="14849" max="14849" width="10.25" style="41" customWidth="1"/>
    <col min="14850" max="14862" width="12.125" style="41" customWidth="1"/>
    <col min="14863" max="15103" width="8.75" style="41"/>
    <col min="15104" max="15104" width="8.75" style="41" customWidth="1"/>
    <col min="15105" max="15105" width="10.25" style="41" customWidth="1"/>
    <col min="15106" max="15118" width="12.125" style="41" customWidth="1"/>
    <col min="15119" max="15359" width="8.75" style="41"/>
    <col min="15360" max="15360" width="8.75" style="41" customWidth="1"/>
    <col min="15361" max="15361" width="10.25" style="41" customWidth="1"/>
    <col min="15362" max="15374" width="12.125" style="41" customWidth="1"/>
    <col min="15375" max="15615" width="8.75" style="41"/>
    <col min="15616" max="15616" width="8.75" style="41" customWidth="1"/>
    <col min="15617" max="15617" width="10.25" style="41" customWidth="1"/>
    <col min="15618" max="15630" width="12.125" style="41" customWidth="1"/>
    <col min="15631" max="15871" width="8.75" style="41"/>
    <col min="15872" max="15872" width="8.75" style="41" customWidth="1"/>
    <col min="15873" max="15873" width="10.25" style="41" customWidth="1"/>
    <col min="15874" max="15886" width="12.125" style="41" customWidth="1"/>
    <col min="15887" max="16127" width="8.75" style="41"/>
    <col min="16128" max="16128" width="8.75" style="41" customWidth="1"/>
    <col min="16129" max="16129" width="10.25" style="41" customWidth="1"/>
    <col min="16130" max="16142" width="12.125" style="41" customWidth="1"/>
    <col min="16143" max="16384" width="8.75" style="41"/>
  </cols>
  <sheetData>
    <row r="1" spans="1:22" ht="23.25" customHeight="1" x14ac:dyDescent="0.3">
      <c r="A1" s="39" t="s">
        <v>374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22" ht="21.75" customHeight="1" x14ac:dyDescent="0.3">
      <c r="A2" s="55" t="s">
        <v>60</v>
      </c>
      <c r="B2" s="42" t="s">
        <v>209</v>
      </c>
    </row>
    <row r="3" spans="1:22" ht="21.75" customHeight="1" x14ac:dyDescent="0.3">
      <c r="A3" s="446" t="s">
        <v>0</v>
      </c>
      <c r="B3" s="43" t="s">
        <v>70</v>
      </c>
      <c r="C3" s="43"/>
      <c r="D3" s="43"/>
      <c r="E3" s="43"/>
      <c r="F3" s="43"/>
      <c r="G3" s="43"/>
      <c r="H3" s="44" t="s">
        <v>71</v>
      </c>
      <c r="I3" s="43"/>
      <c r="J3" s="43"/>
      <c r="K3" s="43"/>
      <c r="L3" s="43"/>
      <c r="M3" s="43"/>
      <c r="N3" s="448" t="s">
        <v>72</v>
      </c>
    </row>
    <row r="4" spans="1:22" ht="21.75" customHeight="1" thickBot="1" x14ac:dyDescent="0.35">
      <c r="A4" s="447"/>
      <c r="B4" s="45">
        <v>1</v>
      </c>
      <c r="C4" s="46">
        <v>2</v>
      </c>
      <c r="D4" s="46">
        <v>3</v>
      </c>
      <c r="E4" s="47">
        <v>4</v>
      </c>
      <c r="F4" s="47">
        <v>5</v>
      </c>
      <c r="G4" s="47">
        <v>6</v>
      </c>
      <c r="H4" s="47">
        <v>7</v>
      </c>
      <c r="I4" s="47">
        <v>8</v>
      </c>
      <c r="J4" s="47">
        <v>9</v>
      </c>
      <c r="K4" s="47">
        <v>10</v>
      </c>
      <c r="L4" s="47">
        <v>11</v>
      </c>
      <c r="M4" s="47">
        <v>12</v>
      </c>
      <c r="N4" s="449"/>
    </row>
    <row r="5" spans="1:22" ht="21.75" customHeight="1" thickBot="1" x14ac:dyDescent="0.35">
      <c r="A5" s="48" t="s">
        <v>61</v>
      </c>
      <c r="B5" s="229">
        <f>'3_1. 개발량 계획'!C3</f>
        <v>2514</v>
      </c>
      <c r="C5" s="229">
        <f>'3_1. 개발량 계획'!D3</f>
        <v>1896</v>
      </c>
      <c r="D5" s="229">
        <f>'3_1. 개발량 계획'!E3</f>
        <v>1311</v>
      </c>
      <c r="E5" s="229">
        <f>'3_1. 개발량 계획'!F3</f>
        <v>913</v>
      </c>
      <c r="F5" s="229">
        <f>'3_1. 개발량 계획'!G3</f>
        <v>1180</v>
      </c>
      <c r="G5" s="229">
        <f>'3_1. 개발량 계획'!H3</f>
        <v>1298</v>
      </c>
      <c r="H5" s="229">
        <f>'3_1. 개발량 계획'!I3</f>
        <v>1130</v>
      </c>
      <c r="I5" s="229">
        <f>'3_1. 개발량 계획'!J3</f>
        <v>1397</v>
      </c>
      <c r="J5" s="229">
        <f>'3_1. 개발량 계획'!K3</f>
        <v>1576</v>
      </c>
      <c r="K5" s="229">
        <f>'3_1. 개발량 계획'!L3</f>
        <v>1185</v>
      </c>
      <c r="L5" s="229">
        <f>'3_1. 개발량 계획'!M3</f>
        <v>1125</v>
      </c>
      <c r="M5" s="229">
        <f>'3_1. 개발량 계획'!N3</f>
        <v>1197</v>
      </c>
      <c r="N5" s="76">
        <f t="shared" ref="N5:N12" si="0">SUM(B5:M5)</f>
        <v>16722</v>
      </c>
      <c r="P5" s="443" t="s">
        <v>67</v>
      </c>
      <c r="Q5" s="444"/>
      <c r="R5" s="445"/>
      <c r="S5" s="42">
        <f t="shared" ref="S5:S12" si="1">SUM(B5:G5)</f>
        <v>9112</v>
      </c>
    </row>
    <row r="6" spans="1:22" ht="21.75" customHeight="1" x14ac:dyDescent="0.3">
      <c r="A6" s="57" t="s">
        <v>62</v>
      </c>
      <c r="B6" s="230">
        <f>'3_1. 개발량 계획'!C5</f>
        <v>281</v>
      </c>
      <c r="C6" s="230">
        <f>'3_1. 개발량 계획'!D5</f>
        <v>196</v>
      </c>
      <c r="D6" s="230">
        <f>'3_1. 개발량 계획'!E5</f>
        <v>153</v>
      </c>
      <c r="E6" s="230">
        <f>'3_1. 개발량 계획'!F5</f>
        <v>152</v>
      </c>
      <c r="F6" s="230">
        <f>'3_1. 개발량 계획'!G5</f>
        <v>145</v>
      </c>
      <c r="G6" s="230">
        <f>'3_1. 개발량 계획'!H5</f>
        <v>153</v>
      </c>
      <c r="H6" s="230">
        <f>'3_1. 개발량 계획'!I5</f>
        <v>179</v>
      </c>
      <c r="I6" s="230">
        <f>'3_1. 개발량 계획'!J5</f>
        <v>170</v>
      </c>
      <c r="J6" s="230">
        <f>'3_1. 개발량 계획'!K5</f>
        <v>185</v>
      </c>
      <c r="K6" s="230">
        <f>'3_1. 개발량 계획'!L5</f>
        <v>209</v>
      </c>
      <c r="L6" s="230">
        <f>'3_1. 개발량 계획'!M5</f>
        <v>245</v>
      </c>
      <c r="M6" s="230">
        <f>'3_1. 개발량 계획'!N5</f>
        <v>304</v>
      </c>
      <c r="N6" s="77">
        <f t="shared" si="0"/>
        <v>2372</v>
      </c>
      <c r="P6" s="52"/>
      <c r="S6" s="42">
        <f t="shared" si="1"/>
        <v>1080</v>
      </c>
    </row>
    <row r="7" spans="1:22" ht="21.75" customHeight="1" x14ac:dyDescent="0.3">
      <c r="A7" s="65" t="s">
        <v>63</v>
      </c>
      <c r="B7" s="224">
        <f>SUM(B5:B6)</f>
        <v>2795</v>
      </c>
      <c r="C7" s="224">
        <f t="shared" ref="C7:M7" si="2">SUM(C5:C6)</f>
        <v>2092</v>
      </c>
      <c r="D7" s="224">
        <f t="shared" si="2"/>
        <v>1464</v>
      </c>
      <c r="E7" s="224">
        <f t="shared" si="2"/>
        <v>1065</v>
      </c>
      <c r="F7" s="224">
        <f t="shared" si="2"/>
        <v>1325</v>
      </c>
      <c r="G7" s="224">
        <f t="shared" si="2"/>
        <v>1451</v>
      </c>
      <c r="H7" s="224">
        <f t="shared" si="2"/>
        <v>1309</v>
      </c>
      <c r="I7" s="224">
        <f t="shared" si="2"/>
        <v>1567</v>
      </c>
      <c r="J7" s="224">
        <f t="shared" si="2"/>
        <v>1761</v>
      </c>
      <c r="K7" s="224">
        <f t="shared" si="2"/>
        <v>1394</v>
      </c>
      <c r="L7" s="224">
        <f t="shared" si="2"/>
        <v>1370</v>
      </c>
      <c r="M7" s="224">
        <f t="shared" si="2"/>
        <v>1501</v>
      </c>
      <c r="N7" s="78">
        <f t="shared" si="0"/>
        <v>19094</v>
      </c>
      <c r="S7" s="42">
        <f t="shared" si="1"/>
        <v>10192</v>
      </c>
    </row>
    <row r="8" spans="1:22" ht="21.75" customHeight="1" x14ac:dyDescent="0.3">
      <c r="A8" s="59" t="s">
        <v>68</v>
      </c>
      <c r="B8" s="231">
        <f>'3_1. 개발량 계획'!C8</f>
        <v>66</v>
      </c>
      <c r="C8" s="231">
        <f>'3_1. 개발량 계획'!D8</f>
        <v>57</v>
      </c>
      <c r="D8" s="231">
        <f>'3_1. 개발량 계획'!E8</f>
        <v>71</v>
      </c>
      <c r="E8" s="231">
        <f>'3_1. 개발량 계획'!F8</f>
        <v>72</v>
      </c>
      <c r="F8" s="231">
        <f>'3_1. 개발량 계획'!G8</f>
        <v>72</v>
      </c>
      <c r="G8" s="231">
        <f>'3_1. 개발량 계획'!H8</f>
        <v>67</v>
      </c>
      <c r="H8" s="231">
        <f>'3_1. 개발량 계획'!I8</f>
        <v>70</v>
      </c>
      <c r="I8" s="231">
        <f>'3_1. 개발량 계획'!J8</f>
        <v>65</v>
      </c>
      <c r="J8" s="231">
        <f>'3_1. 개발량 계획'!K8</f>
        <v>69</v>
      </c>
      <c r="K8" s="231">
        <f>'3_1. 개발량 계획'!L8</f>
        <v>77</v>
      </c>
      <c r="L8" s="231">
        <f>'3_1. 개발량 계획'!M8</f>
        <v>92</v>
      </c>
      <c r="M8" s="231">
        <f>'3_1. 개발량 계획'!N8</f>
        <v>90</v>
      </c>
      <c r="N8" s="79">
        <f t="shared" si="0"/>
        <v>868</v>
      </c>
      <c r="S8" s="42">
        <f t="shared" si="1"/>
        <v>405</v>
      </c>
      <c r="T8" s="42"/>
      <c r="U8" s="42"/>
      <c r="V8" s="42"/>
    </row>
    <row r="9" spans="1:22" ht="21.75" customHeight="1" x14ac:dyDescent="0.3">
      <c r="A9" s="50" t="s">
        <v>64</v>
      </c>
      <c r="B9" s="232">
        <f>'3_1. 개발량 계획'!C10</f>
        <v>31</v>
      </c>
      <c r="C9" s="232">
        <f>'3_1. 개발량 계획'!D10</f>
        <v>24</v>
      </c>
      <c r="D9" s="232">
        <f>'3_1. 개발량 계획'!E10</f>
        <v>27</v>
      </c>
      <c r="E9" s="232">
        <f>'3_1. 개발량 계획'!F10</f>
        <v>33</v>
      </c>
      <c r="F9" s="232">
        <f>'3_1. 개발량 계획'!G10</f>
        <v>25</v>
      </c>
      <c r="G9" s="232">
        <f>'3_1. 개발량 계획'!H10</f>
        <v>22</v>
      </c>
      <c r="H9" s="232">
        <f>'3_1. 개발량 계획'!I10</f>
        <v>23</v>
      </c>
      <c r="I9" s="232">
        <f>'3_1. 개발량 계획'!J10</f>
        <v>27</v>
      </c>
      <c r="J9" s="232">
        <f>'3_1. 개발량 계획'!K10</f>
        <v>16</v>
      </c>
      <c r="K9" s="232">
        <f>'3_1. 개발량 계획'!L10</f>
        <v>23</v>
      </c>
      <c r="L9" s="232">
        <f>'3_1. 개발량 계획'!M10</f>
        <v>32</v>
      </c>
      <c r="M9" s="232">
        <f>'3_1. 개발량 계획'!N10</f>
        <v>30</v>
      </c>
      <c r="N9" s="80">
        <f t="shared" si="0"/>
        <v>313</v>
      </c>
      <c r="S9" s="42">
        <f t="shared" si="1"/>
        <v>162</v>
      </c>
    </row>
    <row r="10" spans="1:22" ht="21.75" customHeight="1" x14ac:dyDescent="0.3">
      <c r="A10" s="57" t="s">
        <v>65</v>
      </c>
      <c r="B10" s="230">
        <f>'3_1. 개발량 계획'!C12</f>
        <v>1</v>
      </c>
      <c r="C10" s="230">
        <f>'3_1. 개발량 계획'!D12</f>
        <v>1</v>
      </c>
      <c r="D10" s="230">
        <f>'3_1. 개발량 계획'!E12</f>
        <v>0</v>
      </c>
      <c r="E10" s="230">
        <f>'3_1. 개발량 계획'!F12</f>
        <v>1</v>
      </c>
      <c r="F10" s="230">
        <f>'3_1. 개발량 계획'!G12</f>
        <v>1</v>
      </c>
      <c r="G10" s="230">
        <f>'3_1. 개발량 계획'!H12</f>
        <v>1</v>
      </c>
      <c r="H10" s="230">
        <f>'3_1. 개발량 계획'!I12</f>
        <v>0</v>
      </c>
      <c r="I10" s="230">
        <f>'3_1. 개발량 계획'!J12</f>
        <v>1</v>
      </c>
      <c r="J10" s="230">
        <f>'3_1. 개발량 계획'!K12</f>
        <v>0</v>
      </c>
      <c r="K10" s="230">
        <f>'3_1. 개발량 계획'!L12</f>
        <v>1</v>
      </c>
      <c r="L10" s="230">
        <f>'3_1. 개발량 계획'!M12</f>
        <v>3</v>
      </c>
      <c r="M10" s="230">
        <f>'3_1. 개발량 계획'!N12</f>
        <v>2</v>
      </c>
      <c r="N10" s="77">
        <f t="shared" si="0"/>
        <v>12</v>
      </c>
      <c r="S10" s="42">
        <f t="shared" si="1"/>
        <v>5</v>
      </c>
    </row>
    <row r="11" spans="1:22" ht="21.75" customHeight="1" x14ac:dyDescent="0.3">
      <c r="A11" s="57" t="s">
        <v>69</v>
      </c>
      <c r="B11" s="230">
        <f>'3_1. 개발량 계획'!C14</f>
        <v>0</v>
      </c>
      <c r="C11" s="230">
        <f>'3_1. 개발량 계획'!D14</f>
        <v>0</v>
      </c>
      <c r="D11" s="230">
        <f>'3_1. 개발량 계획'!E14</f>
        <v>0</v>
      </c>
      <c r="E11" s="230">
        <f>'3_1. 개발량 계획'!F14</f>
        <v>1</v>
      </c>
      <c r="F11" s="230">
        <f>'3_1. 개발량 계획'!G14</f>
        <v>0</v>
      </c>
      <c r="G11" s="230">
        <f>'3_1. 개발량 계획'!H14</f>
        <v>0</v>
      </c>
      <c r="H11" s="230">
        <f>'3_1. 개발량 계획'!I14</f>
        <v>4</v>
      </c>
      <c r="I11" s="230">
        <f>'3_1. 개발량 계획'!J14</f>
        <v>1</v>
      </c>
      <c r="J11" s="230">
        <f>'3_1. 개발량 계획'!K14</f>
        <v>0</v>
      </c>
      <c r="K11" s="230">
        <f>'3_1. 개발량 계획'!L14</f>
        <v>0</v>
      </c>
      <c r="L11" s="230">
        <f>'3_1. 개발량 계획'!M14</f>
        <v>0</v>
      </c>
      <c r="M11" s="230">
        <f>'3_1. 개발량 계획'!N14</f>
        <v>1</v>
      </c>
      <c r="N11" s="77">
        <f t="shared" si="0"/>
        <v>7</v>
      </c>
      <c r="S11" s="42">
        <f t="shared" si="1"/>
        <v>1</v>
      </c>
    </row>
    <row r="12" spans="1:22" ht="21.75" customHeight="1" x14ac:dyDescent="0.3">
      <c r="A12" s="65" t="s">
        <v>82</v>
      </c>
      <c r="B12" s="78">
        <f>SUM(B7:B11)</f>
        <v>2893</v>
      </c>
      <c r="C12" s="78">
        <f t="shared" ref="C12:M12" si="3">SUM(C7:C11)</f>
        <v>2174</v>
      </c>
      <c r="D12" s="78">
        <f t="shared" si="3"/>
        <v>1562</v>
      </c>
      <c r="E12" s="78">
        <f t="shared" si="3"/>
        <v>1172</v>
      </c>
      <c r="F12" s="78">
        <f t="shared" si="3"/>
        <v>1423</v>
      </c>
      <c r="G12" s="78">
        <f t="shared" si="3"/>
        <v>1541</v>
      </c>
      <c r="H12" s="78">
        <f t="shared" si="3"/>
        <v>1406</v>
      </c>
      <c r="I12" s="78">
        <f t="shared" si="3"/>
        <v>1661</v>
      </c>
      <c r="J12" s="78">
        <f t="shared" si="3"/>
        <v>1846</v>
      </c>
      <c r="K12" s="78">
        <f t="shared" si="3"/>
        <v>1495</v>
      </c>
      <c r="L12" s="78">
        <f t="shared" si="3"/>
        <v>1497</v>
      </c>
      <c r="M12" s="78">
        <f t="shared" si="3"/>
        <v>1624</v>
      </c>
      <c r="N12" s="78">
        <f t="shared" si="0"/>
        <v>20294</v>
      </c>
      <c r="S12" s="42">
        <f t="shared" si="1"/>
        <v>10765</v>
      </c>
    </row>
    <row r="13" spans="1:22" ht="21.75" customHeight="1" x14ac:dyDescent="0.3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</row>
    <row r="14" spans="1:22" ht="21.75" customHeight="1" x14ac:dyDescent="0.3">
      <c r="A14" s="55" t="s">
        <v>66</v>
      </c>
      <c r="B14" s="42"/>
    </row>
    <row r="15" spans="1:22" ht="21.75" customHeight="1" x14ac:dyDescent="0.3">
      <c r="A15" s="446" t="s">
        <v>0</v>
      </c>
      <c r="B15" s="43" t="s">
        <v>70</v>
      </c>
      <c r="C15" s="43"/>
      <c r="D15" s="43"/>
      <c r="E15" s="43"/>
      <c r="F15" s="43"/>
      <c r="G15" s="43"/>
      <c r="H15" s="44" t="s">
        <v>71</v>
      </c>
      <c r="I15" s="43"/>
      <c r="J15" s="43"/>
      <c r="K15" s="43"/>
      <c r="L15" s="43"/>
      <c r="M15" s="43"/>
      <c r="N15" s="448" t="s">
        <v>72</v>
      </c>
    </row>
    <row r="16" spans="1:22" ht="21.75" customHeight="1" x14ac:dyDescent="0.3">
      <c r="A16" s="447"/>
      <c r="B16" s="45">
        <v>1</v>
      </c>
      <c r="C16" s="46">
        <v>2</v>
      </c>
      <c r="D16" s="46">
        <v>3</v>
      </c>
      <c r="E16" s="47">
        <v>4</v>
      </c>
      <c r="F16" s="47">
        <v>5</v>
      </c>
      <c r="G16" s="47">
        <v>6</v>
      </c>
      <c r="H16" s="47">
        <v>7</v>
      </c>
      <c r="I16" s="47">
        <v>8</v>
      </c>
      <c r="J16" s="47">
        <v>9</v>
      </c>
      <c r="K16" s="47">
        <v>10</v>
      </c>
      <c r="L16" s="47">
        <v>11</v>
      </c>
      <c r="M16" s="47">
        <v>12</v>
      </c>
      <c r="N16" s="449"/>
    </row>
    <row r="17" spans="1:21" ht="21.75" customHeight="1" x14ac:dyDescent="0.3">
      <c r="A17" s="48" t="s">
        <v>61</v>
      </c>
      <c r="B17" s="53">
        <f>'3_1. 개발량 계획'!C21</f>
        <v>119164</v>
      </c>
      <c r="C17" s="53">
        <f>'3_1. 개발량 계획'!D21</f>
        <v>89870</v>
      </c>
      <c r="D17" s="53">
        <f>'3_1. 개발량 계획'!E21</f>
        <v>62141</v>
      </c>
      <c r="E17" s="53">
        <f>'3_1. 개발량 계획'!F21</f>
        <v>43276</v>
      </c>
      <c r="F17" s="53">
        <f>'3_1. 개발량 계획'!G21</f>
        <v>55932</v>
      </c>
      <c r="G17" s="53">
        <f>'3_1. 개발량 계획'!H21</f>
        <v>61525</v>
      </c>
      <c r="H17" s="53">
        <f>'3_1. 개발량 계획'!I21</f>
        <v>53562</v>
      </c>
      <c r="I17" s="53">
        <f>'3_1. 개발량 계획'!J21</f>
        <v>66218</v>
      </c>
      <c r="J17" s="53">
        <f>'3_1. 개발량 계획'!K21</f>
        <v>74702</v>
      </c>
      <c r="K17" s="53">
        <f>'3_1. 개발량 계획'!L21</f>
        <v>56169</v>
      </c>
      <c r="L17" s="53">
        <f>'3_1. 개발량 계획'!M21</f>
        <v>53325</v>
      </c>
      <c r="M17" s="53">
        <f>'3_1. 개발량 계획'!N21</f>
        <v>56738</v>
      </c>
      <c r="N17" s="49">
        <f>SUM(B17:M17)</f>
        <v>792622</v>
      </c>
    </row>
    <row r="18" spans="1:21" ht="21.75" customHeight="1" x14ac:dyDescent="0.3">
      <c r="A18" s="57" t="s">
        <v>62</v>
      </c>
      <c r="B18" s="81">
        <f>'3_1. 개발량 계획'!C24</f>
        <v>11746</v>
      </c>
      <c r="C18" s="81">
        <f>'3_1. 개발량 계획'!D24</f>
        <v>8193</v>
      </c>
      <c r="D18" s="81">
        <f>'3_1. 개발량 계획'!E24</f>
        <v>6395</v>
      </c>
      <c r="E18" s="81">
        <f>'3_1. 개발량 계획'!F24</f>
        <v>6354</v>
      </c>
      <c r="F18" s="81">
        <f>'3_1. 개발량 계획'!G24</f>
        <v>6061</v>
      </c>
      <c r="G18" s="81">
        <f>'3_1. 개발량 계획'!H24</f>
        <v>6395</v>
      </c>
      <c r="H18" s="81">
        <f>'3_1. 개발량 계획'!I24</f>
        <v>7482</v>
      </c>
      <c r="I18" s="81">
        <f>'3_1. 개발량 계획'!J24</f>
        <v>7106</v>
      </c>
      <c r="J18" s="81">
        <f>'3_1. 개발량 계획'!K24</f>
        <v>7733</v>
      </c>
      <c r="K18" s="81">
        <f>'3_1. 개발량 계획'!L24</f>
        <v>8736</v>
      </c>
      <c r="L18" s="81">
        <f>'3_1. 개발량 계획'!M24</f>
        <v>10241</v>
      </c>
      <c r="M18" s="81">
        <f>'3_1. 개발량 계획'!N24</f>
        <v>12707</v>
      </c>
      <c r="N18" s="58">
        <f t="shared" ref="N18:N24" si="4">SUM(B18:M18)</f>
        <v>99149</v>
      </c>
    </row>
    <row r="19" spans="1:21" ht="21.75" customHeight="1" x14ac:dyDescent="0.3">
      <c r="A19" s="65" t="s">
        <v>63</v>
      </c>
      <c r="B19" s="61">
        <f>SUM(B17:B18)</f>
        <v>130910</v>
      </c>
      <c r="C19" s="61">
        <f t="shared" ref="C19:M19" si="5">SUM(C17:C18)</f>
        <v>98063</v>
      </c>
      <c r="D19" s="61">
        <f t="shared" si="5"/>
        <v>68536</v>
      </c>
      <c r="E19" s="61">
        <f t="shared" si="5"/>
        <v>49630</v>
      </c>
      <c r="F19" s="61">
        <f t="shared" si="5"/>
        <v>61993</v>
      </c>
      <c r="G19" s="61">
        <f t="shared" si="5"/>
        <v>67920</v>
      </c>
      <c r="H19" s="61">
        <f t="shared" si="5"/>
        <v>61044</v>
      </c>
      <c r="I19" s="61">
        <f t="shared" si="5"/>
        <v>73324</v>
      </c>
      <c r="J19" s="61">
        <f t="shared" si="5"/>
        <v>82435</v>
      </c>
      <c r="K19" s="61">
        <f t="shared" si="5"/>
        <v>64905</v>
      </c>
      <c r="L19" s="61">
        <f t="shared" si="5"/>
        <v>63566</v>
      </c>
      <c r="M19" s="61">
        <f t="shared" si="5"/>
        <v>69445</v>
      </c>
      <c r="N19" s="62">
        <f t="shared" si="4"/>
        <v>891771</v>
      </c>
    </row>
    <row r="20" spans="1:21" ht="21.75" customHeight="1" x14ac:dyDescent="0.3">
      <c r="A20" s="59" t="s">
        <v>89</v>
      </c>
      <c r="B20" s="82">
        <f>'3_1. 개발량 계획'!C30</f>
        <v>13233</v>
      </c>
      <c r="C20" s="82">
        <f>'3_1. 개발량 계획'!D30</f>
        <v>11429</v>
      </c>
      <c r="D20" s="82">
        <f>'3_1. 개발량 계획'!E30</f>
        <v>14236</v>
      </c>
      <c r="E20" s="82">
        <f>'3_1. 개발량 계획'!F30</f>
        <v>14436</v>
      </c>
      <c r="F20" s="82">
        <f>'3_1. 개발량 계획'!G30</f>
        <v>14436</v>
      </c>
      <c r="G20" s="82">
        <f>'3_1. 개발량 계획'!H30</f>
        <v>13434</v>
      </c>
      <c r="H20" s="82">
        <f>'3_1. 개발량 계획'!I30</f>
        <v>14035</v>
      </c>
      <c r="I20" s="82">
        <f>'3_1. 개발량 계획'!J30</f>
        <v>13033</v>
      </c>
      <c r="J20" s="82">
        <f>'3_1. 개발량 계획'!K30</f>
        <v>13835</v>
      </c>
      <c r="K20" s="82">
        <f>'3_1. 개발량 계획'!L30</f>
        <v>15439</v>
      </c>
      <c r="L20" s="82">
        <f>'3_1. 개발량 계획'!M30</f>
        <v>18446</v>
      </c>
      <c r="M20" s="82">
        <f>'3_1. 개발량 계획'!N30</f>
        <v>18045</v>
      </c>
      <c r="N20" s="60">
        <f t="shared" si="4"/>
        <v>174037</v>
      </c>
    </row>
    <row r="21" spans="1:21" ht="21.75" customHeight="1" x14ac:dyDescent="0.3">
      <c r="A21" s="50" t="s">
        <v>64</v>
      </c>
      <c r="B21" s="54">
        <f>'3_1. 개발량 계획'!C33</f>
        <v>12720</v>
      </c>
      <c r="C21" s="54">
        <f>'3_1. 개발량 계획'!D33</f>
        <v>14061</v>
      </c>
      <c r="D21" s="54">
        <f>'3_1. 개발량 계획'!E33</f>
        <v>14748</v>
      </c>
      <c r="E21" s="54">
        <f>'3_1. 개발량 계획'!F33</f>
        <v>18134</v>
      </c>
      <c r="F21" s="54">
        <f>'3_1. 개발량 계획'!G33</f>
        <v>15552</v>
      </c>
      <c r="G21" s="54">
        <f>'3_1. 개발량 계획'!H33</f>
        <v>9691</v>
      </c>
      <c r="H21" s="54">
        <f>'3_1. 개발량 계획'!I33</f>
        <v>13799</v>
      </c>
      <c r="I21" s="54">
        <f>'3_1. 개발량 계획'!J33</f>
        <v>20789</v>
      </c>
      <c r="J21" s="54">
        <f>'3_1. 개발량 계획'!K33</f>
        <v>11310</v>
      </c>
      <c r="K21" s="54">
        <f>'3_1. 개발량 계획'!L33</f>
        <v>18011</v>
      </c>
      <c r="L21" s="54">
        <f>'3_1. 개발량 계획'!M33</f>
        <v>14393</v>
      </c>
      <c r="M21" s="54">
        <f>'3_1. 개발량 계획'!N33</f>
        <v>20189</v>
      </c>
      <c r="N21" s="51">
        <f t="shared" si="4"/>
        <v>183397</v>
      </c>
      <c r="S21" s="42"/>
      <c r="U21" s="42"/>
    </row>
    <row r="22" spans="1:21" ht="21.75" customHeight="1" x14ac:dyDescent="0.3">
      <c r="A22" s="57" t="s">
        <v>65</v>
      </c>
      <c r="B22" s="81">
        <f>'3_1. 개발량 계획'!C36</f>
        <v>5000</v>
      </c>
      <c r="C22" s="81">
        <f>'3_1. 개발량 계획'!D36</f>
        <v>20000</v>
      </c>
      <c r="D22" s="81">
        <f>'3_1. 개발량 계획'!E36</f>
        <v>0</v>
      </c>
      <c r="E22" s="81">
        <f>'3_1. 개발량 계획'!F36</f>
        <v>5000</v>
      </c>
      <c r="F22" s="81">
        <f>'3_1. 개발량 계획'!G36</f>
        <v>5000</v>
      </c>
      <c r="G22" s="81">
        <f>'3_1. 개발량 계획'!H36</f>
        <v>5000</v>
      </c>
      <c r="H22" s="81">
        <f>'3_1. 개발량 계획'!I36</f>
        <v>0</v>
      </c>
      <c r="I22" s="81">
        <f>'3_1. 개발량 계획'!J36</f>
        <v>5000</v>
      </c>
      <c r="J22" s="81">
        <f>'3_1. 개발량 계획'!K36</f>
        <v>0</v>
      </c>
      <c r="K22" s="81">
        <f>'3_1. 개발량 계획'!L36</f>
        <v>5000</v>
      </c>
      <c r="L22" s="81">
        <f>'3_1. 개발량 계획'!M36</f>
        <v>45000</v>
      </c>
      <c r="M22" s="81">
        <f>'3_1. 개발량 계획'!N36</f>
        <v>10000</v>
      </c>
      <c r="N22" s="58">
        <f t="shared" si="4"/>
        <v>105000</v>
      </c>
      <c r="S22" s="42"/>
      <c r="U22" s="42"/>
    </row>
    <row r="23" spans="1:21" ht="21.75" customHeight="1" x14ac:dyDescent="0.3">
      <c r="A23" s="57" t="s">
        <v>85</v>
      </c>
      <c r="B23" s="81">
        <f>'3_1. 개발량 계획'!C39</f>
        <v>0</v>
      </c>
      <c r="C23" s="81">
        <f>'3_1. 개발량 계획'!D39</f>
        <v>0</v>
      </c>
      <c r="D23" s="81">
        <f>'3_1. 개발량 계획'!E39</f>
        <v>0</v>
      </c>
      <c r="E23" s="81">
        <f>'3_1. 개발량 계획'!F39</f>
        <v>0</v>
      </c>
      <c r="F23" s="81">
        <f>'3_1. 개발량 계획'!G39</f>
        <v>0</v>
      </c>
      <c r="G23" s="81">
        <f>'3_1. 개발량 계획'!H39</f>
        <v>0</v>
      </c>
      <c r="H23" s="81">
        <f>'3_1. 개발량 계획'!I39</f>
        <v>0</v>
      </c>
      <c r="I23" s="81">
        <f>'3_1. 개발량 계획'!J39</f>
        <v>0</v>
      </c>
      <c r="J23" s="81">
        <f>'3_1. 개발량 계획'!K39</f>
        <v>0</v>
      </c>
      <c r="K23" s="81">
        <f>'3_1. 개발량 계획'!L39</f>
        <v>0</v>
      </c>
      <c r="L23" s="81">
        <f>'3_1. 개발량 계획'!M39</f>
        <v>0</v>
      </c>
      <c r="M23" s="81">
        <f>'3_1. 개발량 계획'!N39</f>
        <v>0</v>
      </c>
      <c r="N23" s="58">
        <f t="shared" ref="N23" si="6">SUM(B23:M23)</f>
        <v>0</v>
      </c>
      <c r="S23" s="42"/>
      <c r="U23" s="42"/>
    </row>
    <row r="24" spans="1:21" ht="21.75" customHeight="1" x14ac:dyDescent="0.3">
      <c r="A24" s="65" t="s">
        <v>83</v>
      </c>
      <c r="B24" s="62">
        <f>SUM(B19:B23)</f>
        <v>161863</v>
      </c>
      <c r="C24" s="62">
        <f t="shared" ref="C24:M24" si="7">SUM(C19:C23)</f>
        <v>143553</v>
      </c>
      <c r="D24" s="62">
        <f t="shared" si="7"/>
        <v>97520</v>
      </c>
      <c r="E24" s="62">
        <f t="shared" si="7"/>
        <v>87200</v>
      </c>
      <c r="F24" s="62">
        <f t="shared" si="7"/>
        <v>96981</v>
      </c>
      <c r="G24" s="62">
        <f t="shared" si="7"/>
        <v>96045</v>
      </c>
      <c r="H24" s="62">
        <f t="shared" si="7"/>
        <v>88878</v>
      </c>
      <c r="I24" s="62">
        <f t="shared" si="7"/>
        <v>112146</v>
      </c>
      <c r="J24" s="62">
        <f t="shared" si="7"/>
        <v>107580</v>
      </c>
      <c r="K24" s="62">
        <f t="shared" si="7"/>
        <v>103355</v>
      </c>
      <c r="L24" s="62">
        <f t="shared" si="7"/>
        <v>141405</v>
      </c>
      <c r="M24" s="62">
        <f t="shared" si="7"/>
        <v>117679</v>
      </c>
      <c r="N24" s="62">
        <f t="shared" si="4"/>
        <v>1354205</v>
      </c>
    </row>
    <row r="26" spans="1:21" ht="21.75" customHeight="1" x14ac:dyDescent="0.3">
      <c r="A26" s="55" t="s">
        <v>76</v>
      </c>
      <c r="B26" s="42" t="s">
        <v>208</v>
      </c>
    </row>
    <row r="27" spans="1:21" ht="21.75" customHeight="1" x14ac:dyDescent="0.3">
      <c r="A27" s="446" t="s">
        <v>0</v>
      </c>
      <c r="B27" s="43" t="s">
        <v>70</v>
      </c>
      <c r="C27" s="43"/>
      <c r="D27" s="43"/>
      <c r="E27" s="43"/>
      <c r="F27" s="43"/>
      <c r="G27" s="43"/>
      <c r="H27" s="44" t="s">
        <v>71</v>
      </c>
      <c r="I27" s="43"/>
      <c r="J27" s="43"/>
      <c r="K27" s="43"/>
      <c r="L27" s="43"/>
      <c r="M27" s="43"/>
      <c r="N27" s="448" t="s">
        <v>72</v>
      </c>
    </row>
    <row r="28" spans="1:21" ht="21.75" customHeight="1" x14ac:dyDescent="0.3">
      <c r="A28" s="447"/>
      <c r="B28" s="45">
        <v>1</v>
      </c>
      <c r="C28" s="46">
        <v>2</v>
      </c>
      <c r="D28" s="46">
        <v>3</v>
      </c>
      <c r="E28" s="47">
        <v>4</v>
      </c>
      <c r="F28" s="47">
        <v>5</v>
      </c>
      <c r="G28" s="47">
        <v>6</v>
      </c>
      <c r="H28" s="47">
        <v>7</v>
      </c>
      <c r="I28" s="47">
        <v>8</v>
      </c>
      <c r="J28" s="47">
        <v>9</v>
      </c>
      <c r="K28" s="47">
        <v>10</v>
      </c>
      <c r="L28" s="47">
        <v>11</v>
      </c>
      <c r="M28" s="47">
        <v>12</v>
      </c>
      <c r="N28" s="449"/>
    </row>
    <row r="29" spans="1:21" ht="21.75" customHeight="1" x14ac:dyDescent="0.3">
      <c r="A29" s="50" t="s">
        <v>77</v>
      </c>
      <c r="B29" s="227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73">
        <f t="shared" ref="N29:N33" si="8">SUM(B29:M29)</f>
        <v>0</v>
      </c>
    </row>
    <row r="30" spans="1:21" ht="21.75" customHeight="1" x14ac:dyDescent="0.3">
      <c r="A30" s="57" t="s">
        <v>78</v>
      </c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74">
        <f t="shared" si="8"/>
        <v>0</v>
      </c>
    </row>
    <row r="31" spans="1:21" ht="21.75" customHeight="1" x14ac:dyDescent="0.3">
      <c r="A31" s="50" t="s">
        <v>79</v>
      </c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73">
        <f t="shared" si="8"/>
        <v>0</v>
      </c>
    </row>
    <row r="32" spans="1:21" ht="21.75" customHeight="1" x14ac:dyDescent="0.3">
      <c r="A32" s="57" t="s">
        <v>80</v>
      </c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74">
        <f t="shared" si="8"/>
        <v>0</v>
      </c>
    </row>
    <row r="33" spans="1:14" ht="21.75" customHeight="1" x14ac:dyDescent="0.3">
      <c r="A33" s="50" t="s">
        <v>81</v>
      </c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73">
        <f t="shared" si="8"/>
        <v>0</v>
      </c>
    </row>
    <row r="34" spans="1:14" ht="21.75" customHeight="1" x14ac:dyDescent="0.3">
      <c r="A34" s="65" t="s">
        <v>84</v>
      </c>
      <c r="B34" s="75">
        <f>SUM(B29:B33)</f>
        <v>0</v>
      </c>
      <c r="C34" s="75">
        <f t="shared" ref="C34" si="9">SUM(C29:C33)</f>
        <v>0</v>
      </c>
      <c r="D34" s="75">
        <f t="shared" ref="D34" si="10">SUM(D29:D33)</f>
        <v>0</v>
      </c>
      <c r="E34" s="75">
        <f t="shared" ref="E34" si="11">SUM(E29:E33)</f>
        <v>0</v>
      </c>
      <c r="F34" s="75">
        <f t="shared" ref="F34" si="12">SUM(F29:F33)</f>
        <v>0</v>
      </c>
      <c r="G34" s="75">
        <f t="shared" ref="G34" si="13">SUM(G29:G33)</f>
        <v>0</v>
      </c>
      <c r="H34" s="75">
        <f t="shared" ref="H34" si="14">SUM(H29:H33)</f>
        <v>0</v>
      </c>
      <c r="I34" s="75">
        <f t="shared" ref="I34" si="15">SUM(I29:I33)</f>
        <v>0</v>
      </c>
      <c r="J34" s="75">
        <f t="shared" ref="J34" si="16">SUM(J29:J33)</f>
        <v>0</v>
      </c>
      <c r="K34" s="75">
        <f t="shared" ref="K34" si="17">SUM(K29:K33)</f>
        <v>0</v>
      </c>
      <c r="L34" s="75">
        <f t="shared" ref="L34" si="18">SUM(L29:L33)</f>
        <v>0</v>
      </c>
      <c r="M34" s="75">
        <f t="shared" ref="M34" si="19">SUM(M29:M33)</f>
        <v>0</v>
      </c>
      <c r="N34" s="75">
        <f t="shared" ref="N34" si="20">SUM(B34:M34)</f>
        <v>0</v>
      </c>
    </row>
    <row r="35" spans="1:14" ht="21.75" customHeight="1" x14ac:dyDescent="0.3">
      <c r="B35" s="56"/>
    </row>
  </sheetData>
  <mergeCells count="7">
    <mergeCell ref="P5:R5"/>
    <mergeCell ref="A27:A28"/>
    <mergeCell ref="N27:N28"/>
    <mergeCell ref="A3:A4"/>
    <mergeCell ref="N3:N4"/>
    <mergeCell ref="A15:A16"/>
    <mergeCell ref="N15:N16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2">
    <pageSetUpPr fitToPage="1"/>
  </sheetPr>
  <dimension ref="A1:V1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2" sqref="N12"/>
    </sheetView>
  </sheetViews>
  <sheetFormatPr defaultColWidth="8.75" defaultRowHeight="21.75" customHeight="1" x14ac:dyDescent="0.3"/>
  <cols>
    <col min="1" max="1" width="17.375" style="41" customWidth="1"/>
    <col min="2" max="14" width="12.125" style="41" customWidth="1"/>
    <col min="15" max="255" width="8.75" style="41"/>
    <col min="256" max="256" width="8.75" style="41" customWidth="1"/>
    <col min="257" max="257" width="10.25" style="41" customWidth="1"/>
    <col min="258" max="270" width="12.125" style="41" customWidth="1"/>
    <col min="271" max="511" width="8.75" style="41"/>
    <col min="512" max="512" width="8.75" style="41" customWidth="1"/>
    <col min="513" max="513" width="10.25" style="41" customWidth="1"/>
    <col min="514" max="526" width="12.125" style="41" customWidth="1"/>
    <col min="527" max="767" width="8.75" style="41"/>
    <col min="768" max="768" width="8.75" style="41" customWidth="1"/>
    <col min="769" max="769" width="10.25" style="41" customWidth="1"/>
    <col min="770" max="782" width="12.125" style="41" customWidth="1"/>
    <col min="783" max="1023" width="8.75" style="41"/>
    <col min="1024" max="1024" width="8.75" style="41" customWidth="1"/>
    <col min="1025" max="1025" width="10.25" style="41" customWidth="1"/>
    <col min="1026" max="1038" width="12.125" style="41" customWidth="1"/>
    <col min="1039" max="1279" width="8.75" style="41"/>
    <col min="1280" max="1280" width="8.75" style="41" customWidth="1"/>
    <col min="1281" max="1281" width="10.25" style="41" customWidth="1"/>
    <col min="1282" max="1294" width="12.125" style="41" customWidth="1"/>
    <col min="1295" max="1535" width="8.75" style="41"/>
    <col min="1536" max="1536" width="8.75" style="41" customWidth="1"/>
    <col min="1537" max="1537" width="10.25" style="41" customWidth="1"/>
    <col min="1538" max="1550" width="12.125" style="41" customWidth="1"/>
    <col min="1551" max="1791" width="8.75" style="41"/>
    <col min="1792" max="1792" width="8.75" style="41" customWidth="1"/>
    <col min="1793" max="1793" width="10.25" style="41" customWidth="1"/>
    <col min="1794" max="1806" width="12.125" style="41" customWidth="1"/>
    <col min="1807" max="2047" width="8.75" style="41"/>
    <col min="2048" max="2048" width="8.75" style="41" customWidth="1"/>
    <col min="2049" max="2049" width="10.25" style="41" customWidth="1"/>
    <col min="2050" max="2062" width="12.125" style="41" customWidth="1"/>
    <col min="2063" max="2303" width="8.75" style="41"/>
    <col min="2304" max="2304" width="8.75" style="41" customWidth="1"/>
    <col min="2305" max="2305" width="10.25" style="41" customWidth="1"/>
    <col min="2306" max="2318" width="12.125" style="41" customWidth="1"/>
    <col min="2319" max="2559" width="8.75" style="41"/>
    <col min="2560" max="2560" width="8.75" style="41" customWidth="1"/>
    <col min="2561" max="2561" width="10.25" style="41" customWidth="1"/>
    <col min="2562" max="2574" width="12.125" style="41" customWidth="1"/>
    <col min="2575" max="2815" width="8.75" style="41"/>
    <col min="2816" max="2816" width="8.75" style="41" customWidth="1"/>
    <col min="2817" max="2817" width="10.25" style="41" customWidth="1"/>
    <col min="2818" max="2830" width="12.125" style="41" customWidth="1"/>
    <col min="2831" max="3071" width="8.75" style="41"/>
    <col min="3072" max="3072" width="8.75" style="41" customWidth="1"/>
    <col min="3073" max="3073" width="10.25" style="41" customWidth="1"/>
    <col min="3074" max="3086" width="12.125" style="41" customWidth="1"/>
    <col min="3087" max="3327" width="8.75" style="41"/>
    <col min="3328" max="3328" width="8.75" style="41" customWidth="1"/>
    <col min="3329" max="3329" width="10.25" style="41" customWidth="1"/>
    <col min="3330" max="3342" width="12.125" style="41" customWidth="1"/>
    <col min="3343" max="3583" width="8.75" style="41"/>
    <col min="3584" max="3584" width="8.75" style="41" customWidth="1"/>
    <col min="3585" max="3585" width="10.25" style="41" customWidth="1"/>
    <col min="3586" max="3598" width="12.125" style="41" customWidth="1"/>
    <col min="3599" max="3839" width="8.75" style="41"/>
    <col min="3840" max="3840" width="8.75" style="41" customWidth="1"/>
    <col min="3841" max="3841" width="10.25" style="41" customWidth="1"/>
    <col min="3842" max="3854" width="12.125" style="41" customWidth="1"/>
    <col min="3855" max="4095" width="8.75" style="41"/>
    <col min="4096" max="4096" width="8.75" style="41" customWidth="1"/>
    <col min="4097" max="4097" width="10.25" style="41" customWidth="1"/>
    <col min="4098" max="4110" width="12.125" style="41" customWidth="1"/>
    <col min="4111" max="4351" width="8.75" style="41"/>
    <col min="4352" max="4352" width="8.75" style="41" customWidth="1"/>
    <col min="4353" max="4353" width="10.25" style="41" customWidth="1"/>
    <col min="4354" max="4366" width="12.125" style="41" customWidth="1"/>
    <col min="4367" max="4607" width="8.75" style="41"/>
    <col min="4608" max="4608" width="8.75" style="41" customWidth="1"/>
    <col min="4609" max="4609" width="10.25" style="41" customWidth="1"/>
    <col min="4610" max="4622" width="12.125" style="41" customWidth="1"/>
    <col min="4623" max="4863" width="8.75" style="41"/>
    <col min="4864" max="4864" width="8.75" style="41" customWidth="1"/>
    <col min="4865" max="4865" width="10.25" style="41" customWidth="1"/>
    <col min="4866" max="4878" width="12.125" style="41" customWidth="1"/>
    <col min="4879" max="5119" width="8.75" style="41"/>
    <col min="5120" max="5120" width="8.75" style="41" customWidth="1"/>
    <col min="5121" max="5121" width="10.25" style="41" customWidth="1"/>
    <col min="5122" max="5134" width="12.125" style="41" customWidth="1"/>
    <col min="5135" max="5375" width="8.75" style="41"/>
    <col min="5376" max="5376" width="8.75" style="41" customWidth="1"/>
    <col min="5377" max="5377" width="10.25" style="41" customWidth="1"/>
    <col min="5378" max="5390" width="12.125" style="41" customWidth="1"/>
    <col min="5391" max="5631" width="8.75" style="41"/>
    <col min="5632" max="5632" width="8.75" style="41" customWidth="1"/>
    <col min="5633" max="5633" width="10.25" style="41" customWidth="1"/>
    <col min="5634" max="5646" width="12.125" style="41" customWidth="1"/>
    <col min="5647" max="5887" width="8.75" style="41"/>
    <col min="5888" max="5888" width="8.75" style="41" customWidth="1"/>
    <col min="5889" max="5889" width="10.25" style="41" customWidth="1"/>
    <col min="5890" max="5902" width="12.125" style="41" customWidth="1"/>
    <col min="5903" max="6143" width="8.75" style="41"/>
    <col min="6144" max="6144" width="8.75" style="41" customWidth="1"/>
    <col min="6145" max="6145" width="10.25" style="41" customWidth="1"/>
    <col min="6146" max="6158" width="12.125" style="41" customWidth="1"/>
    <col min="6159" max="6399" width="8.75" style="41"/>
    <col min="6400" max="6400" width="8.75" style="41" customWidth="1"/>
    <col min="6401" max="6401" width="10.25" style="41" customWidth="1"/>
    <col min="6402" max="6414" width="12.125" style="41" customWidth="1"/>
    <col min="6415" max="6655" width="8.75" style="41"/>
    <col min="6656" max="6656" width="8.75" style="41" customWidth="1"/>
    <col min="6657" max="6657" width="10.25" style="41" customWidth="1"/>
    <col min="6658" max="6670" width="12.125" style="41" customWidth="1"/>
    <col min="6671" max="6911" width="8.75" style="41"/>
    <col min="6912" max="6912" width="8.75" style="41" customWidth="1"/>
    <col min="6913" max="6913" width="10.25" style="41" customWidth="1"/>
    <col min="6914" max="6926" width="12.125" style="41" customWidth="1"/>
    <col min="6927" max="7167" width="8.75" style="41"/>
    <col min="7168" max="7168" width="8.75" style="41" customWidth="1"/>
    <col min="7169" max="7169" width="10.25" style="41" customWidth="1"/>
    <col min="7170" max="7182" width="12.125" style="41" customWidth="1"/>
    <col min="7183" max="7423" width="8.75" style="41"/>
    <col min="7424" max="7424" width="8.75" style="41" customWidth="1"/>
    <col min="7425" max="7425" width="10.25" style="41" customWidth="1"/>
    <col min="7426" max="7438" width="12.125" style="41" customWidth="1"/>
    <col min="7439" max="7679" width="8.75" style="41"/>
    <col min="7680" max="7680" width="8.75" style="41" customWidth="1"/>
    <col min="7681" max="7681" width="10.25" style="41" customWidth="1"/>
    <col min="7682" max="7694" width="12.125" style="41" customWidth="1"/>
    <col min="7695" max="7935" width="8.75" style="41"/>
    <col min="7936" max="7936" width="8.75" style="41" customWidth="1"/>
    <col min="7937" max="7937" width="10.25" style="41" customWidth="1"/>
    <col min="7938" max="7950" width="12.125" style="41" customWidth="1"/>
    <col min="7951" max="8191" width="8.75" style="41"/>
    <col min="8192" max="8192" width="8.75" style="41" customWidth="1"/>
    <col min="8193" max="8193" width="10.25" style="41" customWidth="1"/>
    <col min="8194" max="8206" width="12.125" style="41" customWidth="1"/>
    <col min="8207" max="8447" width="8.75" style="41"/>
    <col min="8448" max="8448" width="8.75" style="41" customWidth="1"/>
    <col min="8449" max="8449" width="10.25" style="41" customWidth="1"/>
    <col min="8450" max="8462" width="12.125" style="41" customWidth="1"/>
    <col min="8463" max="8703" width="8.75" style="41"/>
    <col min="8704" max="8704" width="8.75" style="41" customWidth="1"/>
    <col min="8705" max="8705" width="10.25" style="41" customWidth="1"/>
    <col min="8706" max="8718" width="12.125" style="41" customWidth="1"/>
    <col min="8719" max="8959" width="8.75" style="41"/>
    <col min="8960" max="8960" width="8.75" style="41" customWidth="1"/>
    <col min="8961" max="8961" width="10.25" style="41" customWidth="1"/>
    <col min="8962" max="8974" width="12.125" style="41" customWidth="1"/>
    <col min="8975" max="9215" width="8.75" style="41"/>
    <col min="9216" max="9216" width="8.75" style="41" customWidth="1"/>
    <col min="9217" max="9217" width="10.25" style="41" customWidth="1"/>
    <col min="9218" max="9230" width="12.125" style="41" customWidth="1"/>
    <col min="9231" max="9471" width="8.75" style="41"/>
    <col min="9472" max="9472" width="8.75" style="41" customWidth="1"/>
    <col min="9473" max="9473" width="10.25" style="41" customWidth="1"/>
    <col min="9474" max="9486" width="12.125" style="41" customWidth="1"/>
    <col min="9487" max="9727" width="8.75" style="41"/>
    <col min="9728" max="9728" width="8.75" style="41" customWidth="1"/>
    <col min="9729" max="9729" width="10.25" style="41" customWidth="1"/>
    <col min="9730" max="9742" width="12.125" style="41" customWidth="1"/>
    <col min="9743" max="9983" width="8.75" style="41"/>
    <col min="9984" max="9984" width="8.75" style="41" customWidth="1"/>
    <col min="9985" max="9985" width="10.25" style="41" customWidth="1"/>
    <col min="9986" max="9998" width="12.125" style="41" customWidth="1"/>
    <col min="9999" max="10239" width="8.75" style="41"/>
    <col min="10240" max="10240" width="8.75" style="41" customWidth="1"/>
    <col min="10241" max="10241" width="10.25" style="41" customWidth="1"/>
    <col min="10242" max="10254" width="12.125" style="41" customWidth="1"/>
    <col min="10255" max="10495" width="8.75" style="41"/>
    <col min="10496" max="10496" width="8.75" style="41" customWidth="1"/>
    <col min="10497" max="10497" width="10.25" style="41" customWidth="1"/>
    <col min="10498" max="10510" width="12.125" style="41" customWidth="1"/>
    <col min="10511" max="10751" width="8.75" style="41"/>
    <col min="10752" max="10752" width="8.75" style="41" customWidth="1"/>
    <col min="10753" max="10753" width="10.25" style="41" customWidth="1"/>
    <col min="10754" max="10766" width="12.125" style="41" customWidth="1"/>
    <col min="10767" max="11007" width="8.75" style="41"/>
    <col min="11008" max="11008" width="8.75" style="41" customWidth="1"/>
    <col min="11009" max="11009" width="10.25" style="41" customWidth="1"/>
    <col min="11010" max="11022" width="12.125" style="41" customWidth="1"/>
    <col min="11023" max="11263" width="8.75" style="41"/>
    <col min="11264" max="11264" width="8.75" style="41" customWidth="1"/>
    <col min="11265" max="11265" width="10.25" style="41" customWidth="1"/>
    <col min="11266" max="11278" width="12.125" style="41" customWidth="1"/>
    <col min="11279" max="11519" width="8.75" style="41"/>
    <col min="11520" max="11520" width="8.75" style="41" customWidth="1"/>
    <col min="11521" max="11521" width="10.25" style="41" customWidth="1"/>
    <col min="11522" max="11534" width="12.125" style="41" customWidth="1"/>
    <col min="11535" max="11775" width="8.75" style="41"/>
    <col min="11776" max="11776" width="8.75" style="41" customWidth="1"/>
    <col min="11777" max="11777" width="10.25" style="41" customWidth="1"/>
    <col min="11778" max="11790" width="12.125" style="41" customWidth="1"/>
    <col min="11791" max="12031" width="8.75" style="41"/>
    <col min="12032" max="12032" width="8.75" style="41" customWidth="1"/>
    <col min="12033" max="12033" width="10.25" style="41" customWidth="1"/>
    <col min="12034" max="12046" width="12.125" style="41" customWidth="1"/>
    <col min="12047" max="12287" width="8.75" style="41"/>
    <col min="12288" max="12288" width="8.75" style="41" customWidth="1"/>
    <col min="12289" max="12289" width="10.25" style="41" customWidth="1"/>
    <col min="12290" max="12302" width="12.125" style="41" customWidth="1"/>
    <col min="12303" max="12543" width="8.75" style="41"/>
    <col min="12544" max="12544" width="8.75" style="41" customWidth="1"/>
    <col min="12545" max="12545" width="10.25" style="41" customWidth="1"/>
    <col min="12546" max="12558" width="12.125" style="41" customWidth="1"/>
    <col min="12559" max="12799" width="8.75" style="41"/>
    <col min="12800" max="12800" width="8.75" style="41" customWidth="1"/>
    <col min="12801" max="12801" width="10.25" style="41" customWidth="1"/>
    <col min="12802" max="12814" width="12.125" style="41" customWidth="1"/>
    <col min="12815" max="13055" width="8.75" style="41"/>
    <col min="13056" max="13056" width="8.75" style="41" customWidth="1"/>
    <col min="13057" max="13057" width="10.25" style="41" customWidth="1"/>
    <col min="13058" max="13070" width="12.125" style="41" customWidth="1"/>
    <col min="13071" max="13311" width="8.75" style="41"/>
    <col min="13312" max="13312" width="8.75" style="41" customWidth="1"/>
    <col min="13313" max="13313" width="10.25" style="41" customWidth="1"/>
    <col min="13314" max="13326" width="12.125" style="41" customWidth="1"/>
    <col min="13327" max="13567" width="8.75" style="41"/>
    <col min="13568" max="13568" width="8.75" style="41" customWidth="1"/>
    <col min="13569" max="13569" width="10.25" style="41" customWidth="1"/>
    <col min="13570" max="13582" width="12.125" style="41" customWidth="1"/>
    <col min="13583" max="13823" width="8.75" style="41"/>
    <col min="13824" max="13824" width="8.75" style="41" customWidth="1"/>
    <col min="13825" max="13825" width="10.25" style="41" customWidth="1"/>
    <col min="13826" max="13838" width="12.125" style="41" customWidth="1"/>
    <col min="13839" max="14079" width="8.75" style="41"/>
    <col min="14080" max="14080" width="8.75" style="41" customWidth="1"/>
    <col min="14081" max="14081" width="10.25" style="41" customWidth="1"/>
    <col min="14082" max="14094" width="12.125" style="41" customWidth="1"/>
    <col min="14095" max="14335" width="8.75" style="41"/>
    <col min="14336" max="14336" width="8.75" style="41" customWidth="1"/>
    <col min="14337" max="14337" width="10.25" style="41" customWidth="1"/>
    <col min="14338" max="14350" width="12.125" style="41" customWidth="1"/>
    <col min="14351" max="14591" width="8.75" style="41"/>
    <col min="14592" max="14592" width="8.75" style="41" customWidth="1"/>
    <col min="14593" max="14593" width="10.25" style="41" customWidth="1"/>
    <col min="14594" max="14606" width="12.125" style="41" customWidth="1"/>
    <col min="14607" max="14847" width="8.75" style="41"/>
    <col min="14848" max="14848" width="8.75" style="41" customWidth="1"/>
    <col min="14849" max="14849" width="10.25" style="41" customWidth="1"/>
    <col min="14850" max="14862" width="12.125" style="41" customWidth="1"/>
    <col min="14863" max="15103" width="8.75" style="41"/>
    <col min="15104" max="15104" width="8.75" style="41" customWidth="1"/>
    <col min="15105" max="15105" width="10.25" style="41" customWidth="1"/>
    <col min="15106" max="15118" width="12.125" style="41" customWidth="1"/>
    <col min="15119" max="15359" width="8.75" style="41"/>
    <col min="15360" max="15360" width="8.75" style="41" customWidth="1"/>
    <col min="15361" max="15361" width="10.25" style="41" customWidth="1"/>
    <col min="15362" max="15374" width="12.125" style="41" customWidth="1"/>
    <col min="15375" max="15615" width="8.75" style="41"/>
    <col min="15616" max="15616" width="8.75" style="41" customWidth="1"/>
    <col min="15617" max="15617" width="10.25" style="41" customWidth="1"/>
    <col min="15618" max="15630" width="12.125" style="41" customWidth="1"/>
    <col min="15631" max="15871" width="8.75" style="41"/>
    <col min="15872" max="15872" width="8.75" style="41" customWidth="1"/>
    <col min="15873" max="15873" width="10.25" style="41" customWidth="1"/>
    <col min="15874" max="15886" width="12.125" style="41" customWidth="1"/>
    <col min="15887" max="16127" width="8.75" style="41"/>
    <col min="16128" max="16128" width="8.75" style="41" customWidth="1"/>
    <col min="16129" max="16129" width="10.25" style="41" customWidth="1"/>
    <col min="16130" max="16142" width="12.125" style="41" customWidth="1"/>
    <col min="16143" max="16384" width="8.75" style="41"/>
  </cols>
  <sheetData>
    <row r="1" spans="1:22" ht="23.25" customHeight="1" x14ac:dyDescent="0.3">
      <c r="A1" s="39" t="s">
        <v>375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22" ht="21.75" customHeight="1" x14ac:dyDescent="0.3">
      <c r="A2" s="55" t="s">
        <v>90</v>
      </c>
      <c r="B2" s="42"/>
    </row>
    <row r="3" spans="1:22" ht="21.75" customHeight="1" x14ac:dyDescent="0.3">
      <c r="A3" s="446" t="s">
        <v>0</v>
      </c>
      <c r="B3" s="43" t="s">
        <v>70</v>
      </c>
      <c r="C3" s="43"/>
      <c r="D3" s="43"/>
      <c r="E3" s="43"/>
      <c r="F3" s="43"/>
      <c r="G3" s="43"/>
      <c r="H3" s="44" t="s">
        <v>71</v>
      </c>
      <c r="I3" s="43"/>
      <c r="J3" s="43"/>
      <c r="K3" s="43"/>
      <c r="L3" s="43"/>
      <c r="M3" s="43"/>
      <c r="N3" s="448" t="s">
        <v>72</v>
      </c>
    </row>
    <row r="4" spans="1:22" ht="21.75" customHeight="1" thickBot="1" x14ac:dyDescent="0.35">
      <c r="A4" s="447"/>
      <c r="B4" s="45">
        <v>1</v>
      </c>
      <c r="C4" s="46">
        <v>2</v>
      </c>
      <c r="D4" s="46">
        <v>3</v>
      </c>
      <c r="E4" s="47">
        <v>4</v>
      </c>
      <c r="F4" s="47">
        <v>5</v>
      </c>
      <c r="G4" s="47">
        <v>6</v>
      </c>
      <c r="H4" s="47">
        <v>7</v>
      </c>
      <c r="I4" s="47">
        <v>8</v>
      </c>
      <c r="J4" s="47">
        <v>9</v>
      </c>
      <c r="K4" s="47">
        <v>10</v>
      </c>
      <c r="L4" s="47">
        <v>11</v>
      </c>
      <c r="M4" s="47">
        <v>12</v>
      </c>
      <c r="N4" s="449"/>
    </row>
    <row r="5" spans="1:22" ht="21.75" customHeight="1" thickBot="1" x14ac:dyDescent="0.35">
      <c r="A5" s="48" t="s">
        <v>61</v>
      </c>
      <c r="B5" s="222">
        <v>1582</v>
      </c>
      <c r="C5" s="222">
        <v>3710</v>
      </c>
      <c r="D5" s="222">
        <v>368</v>
      </c>
      <c r="E5" s="222">
        <v>2341</v>
      </c>
      <c r="F5" s="222">
        <v>4831</v>
      </c>
      <c r="G5" s="222">
        <v>2381</v>
      </c>
      <c r="H5" s="222">
        <v>984</v>
      </c>
      <c r="I5" s="222">
        <v>593</v>
      </c>
      <c r="J5" s="222">
        <v>2082</v>
      </c>
      <c r="K5" s="222">
        <v>945</v>
      </c>
      <c r="L5" s="222">
        <v>117</v>
      </c>
      <c r="M5" s="222">
        <v>2993</v>
      </c>
      <c r="N5" s="229">
        <f t="shared" ref="N5:N12" si="0">SUM(B5:M5)</f>
        <v>22927</v>
      </c>
      <c r="P5" s="450" t="s">
        <v>67</v>
      </c>
      <c r="Q5" s="451"/>
      <c r="R5" s="452"/>
    </row>
    <row r="6" spans="1:22" ht="21.75" customHeight="1" x14ac:dyDescent="0.3">
      <c r="A6" s="57" t="s">
        <v>62</v>
      </c>
      <c r="B6" s="223">
        <v>96</v>
      </c>
      <c r="C6" s="223">
        <v>123</v>
      </c>
      <c r="D6" s="223">
        <v>121</v>
      </c>
      <c r="E6" s="223">
        <v>154</v>
      </c>
      <c r="F6" s="223">
        <v>256</v>
      </c>
      <c r="G6" s="223">
        <v>144</v>
      </c>
      <c r="H6" s="223">
        <v>182</v>
      </c>
      <c r="I6" s="223">
        <v>165</v>
      </c>
      <c r="J6" s="223">
        <v>761</v>
      </c>
      <c r="K6" s="223">
        <v>251</v>
      </c>
      <c r="L6" s="223">
        <v>246</v>
      </c>
      <c r="M6" s="223">
        <v>161</v>
      </c>
      <c r="N6" s="230">
        <f t="shared" si="0"/>
        <v>2660</v>
      </c>
      <c r="P6" s="52"/>
    </row>
    <row r="7" spans="1:22" ht="21.75" customHeight="1" x14ac:dyDescent="0.3">
      <c r="A7" s="65" t="s">
        <v>63</v>
      </c>
      <c r="B7" s="224">
        <f>SUM(B5:B6)</f>
        <v>1678</v>
      </c>
      <c r="C7" s="224">
        <f t="shared" ref="C7:M7" si="1">SUM(C5:C6)</f>
        <v>3833</v>
      </c>
      <c r="D7" s="224">
        <f t="shared" si="1"/>
        <v>489</v>
      </c>
      <c r="E7" s="224">
        <f t="shared" si="1"/>
        <v>2495</v>
      </c>
      <c r="F7" s="224">
        <f t="shared" si="1"/>
        <v>5087</v>
      </c>
      <c r="G7" s="224">
        <f t="shared" si="1"/>
        <v>2525</v>
      </c>
      <c r="H7" s="224">
        <f t="shared" si="1"/>
        <v>1166</v>
      </c>
      <c r="I7" s="224">
        <f t="shared" si="1"/>
        <v>758</v>
      </c>
      <c r="J7" s="224">
        <f t="shared" si="1"/>
        <v>2843</v>
      </c>
      <c r="K7" s="224">
        <f t="shared" si="1"/>
        <v>1196</v>
      </c>
      <c r="L7" s="224">
        <f t="shared" si="1"/>
        <v>363</v>
      </c>
      <c r="M7" s="224">
        <f t="shared" si="1"/>
        <v>3154</v>
      </c>
      <c r="N7" s="224">
        <f t="shared" si="0"/>
        <v>25587</v>
      </c>
    </row>
    <row r="8" spans="1:22" ht="21.75" customHeight="1" x14ac:dyDescent="0.3">
      <c r="A8" s="59" t="s">
        <v>68</v>
      </c>
      <c r="B8" s="225">
        <v>72</v>
      </c>
      <c r="C8" s="225">
        <v>45</v>
      </c>
      <c r="D8" s="225">
        <v>99</v>
      </c>
      <c r="E8" s="225">
        <v>73</v>
      </c>
      <c r="F8" s="225">
        <v>78</v>
      </c>
      <c r="G8" s="225">
        <v>63</v>
      </c>
      <c r="H8" s="225">
        <v>64</v>
      </c>
      <c r="I8" s="225">
        <v>76</v>
      </c>
      <c r="J8" s="225">
        <v>70</v>
      </c>
      <c r="K8" s="225">
        <v>77</v>
      </c>
      <c r="L8" s="225">
        <v>86</v>
      </c>
      <c r="M8" s="225">
        <v>97</v>
      </c>
      <c r="N8" s="231">
        <f t="shared" si="0"/>
        <v>900</v>
      </c>
      <c r="S8" s="42"/>
      <c r="T8" s="42"/>
      <c r="U8" s="42"/>
      <c r="V8" s="42"/>
    </row>
    <row r="9" spans="1:22" ht="21.75" customHeight="1" x14ac:dyDescent="0.3">
      <c r="A9" s="50" t="s">
        <v>64</v>
      </c>
      <c r="B9" s="226">
        <v>27</v>
      </c>
      <c r="C9" s="226">
        <v>22</v>
      </c>
      <c r="D9" s="226">
        <v>18</v>
      </c>
      <c r="E9" s="226">
        <v>36</v>
      </c>
      <c r="F9" s="226">
        <v>26</v>
      </c>
      <c r="G9" s="226">
        <v>34</v>
      </c>
      <c r="H9" s="226">
        <v>19</v>
      </c>
      <c r="I9" s="226">
        <v>20</v>
      </c>
      <c r="J9" s="226">
        <v>21</v>
      </c>
      <c r="K9" s="226">
        <v>33</v>
      </c>
      <c r="L9" s="226">
        <v>35</v>
      </c>
      <c r="M9" s="226">
        <v>26</v>
      </c>
      <c r="N9" s="232">
        <f t="shared" si="0"/>
        <v>317</v>
      </c>
    </row>
    <row r="10" spans="1:22" ht="21.75" customHeight="1" x14ac:dyDescent="0.3">
      <c r="A10" s="57" t="s">
        <v>65</v>
      </c>
      <c r="B10" s="223">
        <v>1</v>
      </c>
      <c r="C10" s="223">
        <v>4</v>
      </c>
      <c r="D10" s="223">
        <v>0</v>
      </c>
      <c r="E10" s="223">
        <v>1</v>
      </c>
      <c r="F10" s="223">
        <v>0</v>
      </c>
      <c r="G10" s="223">
        <v>0</v>
      </c>
      <c r="H10" s="223">
        <v>1</v>
      </c>
      <c r="I10" s="223">
        <v>1</v>
      </c>
      <c r="J10" s="223">
        <v>8</v>
      </c>
      <c r="K10" s="223">
        <v>0</v>
      </c>
      <c r="L10" s="223">
        <v>0</v>
      </c>
      <c r="M10" s="223">
        <v>0</v>
      </c>
      <c r="N10" s="230">
        <f t="shared" si="0"/>
        <v>16</v>
      </c>
    </row>
    <row r="11" spans="1:22" ht="21.75" customHeight="1" x14ac:dyDescent="0.3">
      <c r="A11" s="57" t="s">
        <v>69</v>
      </c>
      <c r="B11" s="223">
        <v>0</v>
      </c>
      <c r="C11" s="223">
        <v>0</v>
      </c>
      <c r="D11" s="223">
        <v>0</v>
      </c>
      <c r="E11" s="223">
        <v>1</v>
      </c>
      <c r="F11" s="223">
        <v>0</v>
      </c>
      <c r="G11" s="223"/>
      <c r="H11" s="223"/>
      <c r="I11" s="223"/>
      <c r="J11" s="223">
        <v>0</v>
      </c>
      <c r="K11" s="223">
        <v>1</v>
      </c>
      <c r="L11" s="223">
        <v>0</v>
      </c>
      <c r="M11" s="223">
        <v>0</v>
      </c>
      <c r="N11" s="230">
        <f t="shared" si="0"/>
        <v>2</v>
      </c>
    </row>
    <row r="12" spans="1:22" ht="21.75" customHeight="1" x14ac:dyDescent="0.3">
      <c r="A12" s="65" t="s">
        <v>82</v>
      </c>
      <c r="B12" s="224">
        <f>SUM(B7:B11)</f>
        <v>1778</v>
      </c>
      <c r="C12" s="224">
        <f t="shared" ref="C12:M12" si="2">SUM(C7:C11)</f>
        <v>3904</v>
      </c>
      <c r="D12" s="224">
        <f t="shared" si="2"/>
        <v>606</v>
      </c>
      <c r="E12" s="224">
        <f t="shared" si="2"/>
        <v>2606</v>
      </c>
      <c r="F12" s="224">
        <f t="shared" si="2"/>
        <v>5191</v>
      </c>
      <c r="G12" s="224">
        <f t="shared" si="2"/>
        <v>2622</v>
      </c>
      <c r="H12" s="224">
        <f t="shared" si="2"/>
        <v>1250</v>
      </c>
      <c r="I12" s="224">
        <f t="shared" si="2"/>
        <v>855</v>
      </c>
      <c r="J12" s="224">
        <f t="shared" si="2"/>
        <v>2942</v>
      </c>
      <c r="K12" s="224">
        <f t="shared" si="2"/>
        <v>1307</v>
      </c>
      <c r="L12" s="224">
        <f t="shared" si="2"/>
        <v>484</v>
      </c>
      <c r="M12" s="224">
        <f t="shared" si="2"/>
        <v>3277</v>
      </c>
      <c r="N12" s="224">
        <f t="shared" si="0"/>
        <v>26822</v>
      </c>
    </row>
    <row r="13" spans="1:22" ht="21.75" customHeight="1" x14ac:dyDescent="0.3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</row>
    <row r="14" spans="1:22" ht="21.75" customHeight="1" x14ac:dyDescent="0.3">
      <c r="B14" s="56"/>
    </row>
  </sheetData>
  <mergeCells count="3">
    <mergeCell ref="A3:A4"/>
    <mergeCell ref="N3:N4"/>
    <mergeCell ref="P5:R5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R20"/>
  <sheetViews>
    <sheetView zoomScale="85" zoomScaleNormal="85" zoomScaleSheetLayoutView="100" workbookViewId="0">
      <selection activeCell="D4" sqref="D4"/>
    </sheetView>
  </sheetViews>
  <sheetFormatPr defaultRowHeight="13.5" x14ac:dyDescent="0.3"/>
  <cols>
    <col min="1" max="1" width="9.5" style="94" customWidth="1"/>
    <col min="2" max="2" width="9.5" style="93" customWidth="1"/>
    <col min="3" max="3" width="21.5" style="93" bestFit="1" customWidth="1"/>
    <col min="4" max="9" width="13.125" style="93" customWidth="1"/>
    <col min="10" max="10" width="13.125" style="95" customWidth="1"/>
    <col min="11" max="16" width="13.125" style="93" customWidth="1"/>
    <col min="17" max="18" width="13.125" style="95" customWidth="1"/>
    <col min="19" max="16384" width="9" style="93"/>
  </cols>
  <sheetData>
    <row r="1" spans="1:18" ht="25.5" customHeight="1" x14ac:dyDescent="0.3">
      <c r="A1" s="92" t="s">
        <v>342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</row>
    <row r="2" spans="1:18" x14ac:dyDescent="0.3">
      <c r="R2" s="96" t="s">
        <v>144</v>
      </c>
    </row>
    <row r="3" spans="1:18" ht="20.25" customHeight="1" x14ac:dyDescent="0.3">
      <c r="A3" s="459" t="s">
        <v>145</v>
      </c>
      <c r="B3" s="460"/>
      <c r="C3" s="461"/>
      <c r="D3" s="163" t="s">
        <v>93</v>
      </c>
      <c r="E3" s="163" t="s">
        <v>94</v>
      </c>
      <c r="F3" s="163" t="s">
        <v>95</v>
      </c>
      <c r="G3" s="163" t="s">
        <v>96</v>
      </c>
      <c r="H3" s="163" t="s">
        <v>97</v>
      </c>
      <c r="I3" s="163" t="s">
        <v>98</v>
      </c>
      <c r="J3" s="163" t="s">
        <v>134</v>
      </c>
      <c r="K3" s="163" t="s">
        <v>100</v>
      </c>
      <c r="L3" s="163" t="s">
        <v>101</v>
      </c>
      <c r="M3" s="163" t="s">
        <v>102</v>
      </c>
      <c r="N3" s="163" t="s">
        <v>103</v>
      </c>
      <c r="O3" s="163" t="s">
        <v>135</v>
      </c>
      <c r="P3" s="163" t="s">
        <v>105</v>
      </c>
      <c r="Q3" s="163" t="s">
        <v>136</v>
      </c>
      <c r="R3" s="163" t="s">
        <v>137</v>
      </c>
    </row>
    <row r="4" spans="1:18" ht="20.25" customHeight="1" x14ac:dyDescent="0.3">
      <c r="A4" s="453" t="s">
        <v>152</v>
      </c>
      <c r="B4" s="455" t="s">
        <v>154</v>
      </c>
      <c r="C4" s="456"/>
      <c r="D4" s="218">
        <v>29.5</v>
      </c>
      <c r="E4" s="218">
        <v>27.3</v>
      </c>
      <c r="F4" s="218">
        <v>29.2</v>
      </c>
      <c r="G4" s="218">
        <v>28.5</v>
      </c>
      <c r="H4" s="218">
        <v>29.4</v>
      </c>
      <c r="I4" s="218">
        <v>28.2</v>
      </c>
      <c r="J4" s="164"/>
      <c r="K4" s="218">
        <v>29.7</v>
      </c>
      <c r="L4" s="218">
        <v>29.4</v>
      </c>
      <c r="M4" s="218">
        <v>27.2</v>
      </c>
      <c r="N4" s="218">
        <v>29.4</v>
      </c>
      <c r="O4" s="218">
        <v>28.6</v>
      </c>
      <c r="P4" s="218">
        <v>29.3</v>
      </c>
      <c r="Q4" s="164"/>
      <c r="R4" s="185"/>
    </row>
    <row r="5" spans="1:18" ht="20.25" customHeight="1" x14ac:dyDescent="0.3">
      <c r="A5" s="454"/>
      <c r="B5" s="457" t="s">
        <v>153</v>
      </c>
      <c r="C5" s="458"/>
      <c r="D5" s="115">
        <f t="shared" ref="D5:I5" si="0">ROUND(D4,0)</f>
        <v>30</v>
      </c>
      <c r="E5" s="115">
        <f t="shared" si="0"/>
        <v>27</v>
      </c>
      <c r="F5" s="115">
        <f t="shared" si="0"/>
        <v>29</v>
      </c>
      <c r="G5" s="115">
        <f t="shared" si="0"/>
        <v>29</v>
      </c>
      <c r="H5" s="115">
        <f t="shared" si="0"/>
        <v>29</v>
      </c>
      <c r="I5" s="115">
        <f t="shared" si="0"/>
        <v>28</v>
      </c>
      <c r="J5" s="187">
        <f>SUM(D5:I5)</f>
        <v>172</v>
      </c>
      <c r="K5" s="115">
        <f t="shared" ref="K5:P5" si="1">ROUND(K4,0)</f>
        <v>30</v>
      </c>
      <c r="L5" s="115">
        <f t="shared" si="1"/>
        <v>29</v>
      </c>
      <c r="M5" s="115">
        <f t="shared" si="1"/>
        <v>27</v>
      </c>
      <c r="N5" s="115">
        <f t="shared" si="1"/>
        <v>29</v>
      </c>
      <c r="O5" s="115">
        <f t="shared" si="1"/>
        <v>29</v>
      </c>
      <c r="P5" s="115">
        <f t="shared" si="1"/>
        <v>29</v>
      </c>
      <c r="Q5" s="187">
        <f>SUM(K5:P5)</f>
        <v>173</v>
      </c>
      <c r="R5" s="189">
        <f>J5+Q5</f>
        <v>345</v>
      </c>
    </row>
    <row r="6" spans="1:18" ht="20.25" customHeight="1" x14ac:dyDescent="0.3">
      <c r="A6" s="462" t="s">
        <v>89</v>
      </c>
      <c r="B6" s="464" t="s">
        <v>146</v>
      </c>
      <c r="C6" s="108" t="s">
        <v>147</v>
      </c>
      <c r="D6" s="219">
        <v>27099</v>
      </c>
      <c r="E6" s="219">
        <v>27154</v>
      </c>
      <c r="F6" s="219">
        <v>27222</v>
      </c>
      <c r="G6" s="219">
        <v>27290</v>
      </c>
      <c r="H6" s="219">
        <v>27358</v>
      </c>
      <c r="I6" s="219">
        <v>27418</v>
      </c>
      <c r="J6" s="101"/>
      <c r="K6" s="219">
        <v>27482</v>
      </c>
      <c r="L6" s="219">
        <v>27544</v>
      </c>
      <c r="M6" s="219">
        <v>27610</v>
      </c>
      <c r="N6" s="219">
        <v>27690</v>
      </c>
      <c r="O6" s="219">
        <v>27784</v>
      </c>
      <c r="P6" s="219">
        <v>27878</v>
      </c>
      <c r="Q6" s="101"/>
      <c r="R6" s="101"/>
    </row>
    <row r="7" spans="1:18" ht="20.25" customHeight="1" x14ac:dyDescent="0.3">
      <c r="A7" s="462"/>
      <c r="B7" s="464"/>
      <c r="C7" s="104" t="s">
        <v>148</v>
      </c>
      <c r="D7" s="220">
        <v>27067</v>
      </c>
      <c r="E7" s="220">
        <v>27099</v>
      </c>
      <c r="F7" s="220">
        <v>27154</v>
      </c>
      <c r="G7" s="220">
        <v>27222</v>
      </c>
      <c r="H7" s="220">
        <v>27290</v>
      </c>
      <c r="I7" s="220">
        <v>27358</v>
      </c>
      <c r="J7" s="100"/>
      <c r="K7" s="220">
        <v>27418</v>
      </c>
      <c r="L7" s="220">
        <v>27482</v>
      </c>
      <c r="M7" s="220">
        <v>27544</v>
      </c>
      <c r="N7" s="220">
        <v>27610</v>
      </c>
      <c r="O7" s="220">
        <v>27690</v>
      </c>
      <c r="P7" s="220">
        <v>27784</v>
      </c>
      <c r="Q7" s="100"/>
      <c r="R7" s="100"/>
    </row>
    <row r="8" spans="1:18" ht="20.25" customHeight="1" x14ac:dyDescent="0.3">
      <c r="A8" s="462"/>
      <c r="B8" s="464"/>
      <c r="C8" s="104" t="s">
        <v>155</v>
      </c>
      <c r="D8" s="221">
        <v>191.74401582146066</v>
      </c>
      <c r="E8" s="221">
        <v>185.65042124407228</v>
      </c>
      <c r="F8" s="221">
        <v>168.53238164538553</v>
      </c>
      <c r="G8" s="221">
        <v>163.1756185994484</v>
      </c>
      <c r="H8" s="221">
        <v>157.12953168693457</v>
      </c>
      <c r="I8" s="221">
        <v>156.08485314560141</v>
      </c>
      <c r="J8" s="100"/>
      <c r="K8" s="220">
        <v>149.6311659887819</v>
      </c>
      <c r="L8" s="220">
        <v>147.19762912426083</v>
      </c>
      <c r="M8" s="220">
        <v>167.80879689796961</v>
      </c>
      <c r="N8" s="220">
        <v>181.52039833629371</v>
      </c>
      <c r="O8" s="220">
        <v>206.85282720446844</v>
      </c>
      <c r="P8" s="220">
        <v>218.7196590605532</v>
      </c>
      <c r="Q8" s="100"/>
      <c r="R8" s="100"/>
    </row>
    <row r="9" spans="1:18" ht="20.25" customHeight="1" x14ac:dyDescent="0.3">
      <c r="A9" s="462"/>
      <c r="B9" s="464"/>
      <c r="C9" s="104" t="s">
        <v>149</v>
      </c>
      <c r="D9" s="188">
        <f t="shared" ref="D9:I9" si="2">D10/D7/D5</f>
        <v>4.4202497506188347</v>
      </c>
      <c r="E9" s="188">
        <f t="shared" si="2"/>
        <v>4.4043964995291613</v>
      </c>
      <c r="F9" s="188">
        <f t="shared" si="2"/>
        <v>3.9835065894908479</v>
      </c>
      <c r="G9" s="188">
        <f t="shared" si="2"/>
        <v>3.7644083512574769</v>
      </c>
      <c r="H9" s="188">
        <f t="shared" si="2"/>
        <v>3.7393752921999979</v>
      </c>
      <c r="I9" s="188">
        <f t="shared" si="2"/>
        <v>3.6890489070838512</v>
      </c>
      <c r="J9" s="188">
        <f>AVERAGE(D9:I9)</f>
        <v>4.0001642316966946</v>
      </c>
      <c r="K9" s="188">
        <f t="shared" ref="K9" si="3">K10/K7/K5</f>
        <v>3.4768096384370368</v>
      </c>
      <c r="L9" s="188">
        <f t="shared" ref="L9" si="4">L10/L7/L5</f>
        <v>3.5021920303948169</v>
      </c>
      <c r="M9" s="188">
        <f t="shared" ref="M9" si="5">M10/M7/M5</f>
        <v>3.9679879196652359</v>
      </c>
      <c r="N9" s="188">
        <f t="shared" ref="N9" si="6">N10/N7/N5</f>
        <v>4.3215788882089203</v>
      </c>
      <c r="O9" s="188">
        <f t="shared" ref="O9" si="7">O10/O7/O5</f>
        <v>4.7930548810101996</v>
      </c>
      <c r="P9" s="188">
        <f t="shared" ref="P9" si="8">P10/P7/P5</f>
        <v>5.1920083004855186</v>
      </c>
      <c r="Q9" s="188">
        <f>AVERAGE(K9:P9)</f>
        <v>4.2089386097002874</v>
      </c>
      <c r="R9" s="186"/>
    </row>
    <row r="10" spans="1:18" ht="20.25" customHeight="1" x14ac:dyDescent="0.3">
      <c r="A10" s="462"/>
      <c r="B10" s="464"/>
      <c r="C10" s="104" t="s">
        <v>150</v>
      </c>
      <c r="D10" s="220">
        <v>3589287</v>
      </c>
      <c r="E10" s="220">
        <v>3222578</v>
      </c>
      <c r="F10" s="220">
        <v>3136876</v>
      </c>
      <c r="G10" s="220">
        <v>2971767</v>
      </c>
      <c r="H10" s="220">
        <v>2959379</v>
      </c>
      <c r="I10" s="220">
        <v>2825900</v>
      </c>
      <c r="J10" s="186">
        <f>SUM(D10:I10)</f>
        <v>18705787</v>
      </c>
      <c r="K10" s="220">
        <v>2859815</v>
      </c>
      <c r="L10" s="220">
        <v>2791170</v>
      </c>
      <c r="M10" s="220">
        <v>2950945</v>
      </c>
      <c r="N10" s="220">
        <v>3460245</v>
      </c>
      <c r="O10" s="220">
        <v>3848871</v>
      </c>
      <c r="P10" s="220">
        <v>4183388</v>
      </c>
      <c r="Q10" s="186">
        <f>SUM(K10:P10)</f>
        <v>20094434</v>
      </c>
      <c r="R10" s="186">
        <f>J10+Q10</f>
        <v>38800221</v>
      </c>
    </row>
    <row r="11" spans="1:18" ht="20.25" customHeight="1" x14ac:dyDescent="0.3">
      <c r="A11" s="463"/>
      <c r="B11" s="465"/>
      <c r="C11" s="110" t="s">
        <v>151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</row>
    <row r="12" spans="1:18" s="161" customFormat="1" ht="20.25" customHeight="1" thickBot="1" x14ac:dyDescent="0.35">
      <c r="A12" s="158"/>
      <c r="B12" s="159"/>
      <c r="C12" s="98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</row>
    <row r="13" spans="1:18" ht="20.25" customHeight="1" x14ac:dyDescent="0.3">
      <c r="C13" s="147"/>
      <c r="D13" s="147" t="s">
        <v>118</v>
      </c>
      <c r="E13" s="147" t="s">
        <v>213</v>
      </c>
      <c r="F13" s="147" t="s">
        <v>214</v>
      </c>
      <c r="G13" s="147" t="s">
        <v>215</v>
      </c>
      <c r="H13" s="147" t="s">
        <v>216</v>
      </c>
      <c r="I13" s="147" t="s">
        <v>217</v>
      </c>
      <c r="J13" s="190"/>
      <c r="K13" s="147" t="s">
        <v>218</v>
      </c>
      <c r="L13" s="147" t="s">
        <v>219</v>
      </c>
      <c r="M13" s="147" t="s">
        <v>220</v>
      </c>
      <c r="N13" s="147" t="s">
        <v>221</v>
      </c>
      <c r="O13" s="147" t="s">
        <v>222</v>
      </c>
      <c r="P13" s="147" t="s">
        <v>223</v>
      </c>
      <c r="Q13" s="193" t="s">
        <v>157</v>
      </c>
    </row>
    <row r="14" spans="1:18" ht="17.25" thickBot="1" x14ac:dyDescent="0.35">
      <c r="C14" s="147" t="s">
        <v>156</v>
      </c>
      <c r="D14" s="192">
        <f t="shared" ref="D14:P14" si="9">ROUND(D10/D7,0)</f>
        <v>133</v>
      </c>
      <c r="E14" s="192">
        <f t="shared" si="9"/>
        <v>119</v>
      </c>
      <c r="F14" s="192">
        <f t="shared" si="9"/>
        <v>116</v>
      </c>
      <c r="G14" s="192">
        <f t="shared" si="9"/>
        <v>109</v>
      </c>
      <c r="H14" s="192">
        <f t="shared" si="9"/>
        <v>108</v>
      </c>
      <c r="I14" s="192">
        <f t="shared" si="9"/>
        <v>103</v>
      </c>
      <c r="J14" s="191"/>
      <c r="K14" s="192">
        <f t="shared" si="9"/>
        <v>104</v>
      </c>
      <c r="L14" s="192">
        <f t="shared" si="9"/>
        <v>102</v>
      </c>
      <c r="M14" s="192">
        <f t="shared" si="9"/>
        <v>107</v>
      </c>
      <c r="N14" s="192">
        <f t="shared" si="9"/>
        <v>125</v>
      </c>
      <c r="O14" s="192">
        <f t="shared" si="9"/>
        <v>139</v>
      </c>
      <c r="P14" s="192">
        <f t="shared" si="9"/>
        <v>151</v>
      </c>
      <c r="Q14" s="194">
        <f>ROUND(AVERAGE(D14:I14,K14:P14),0)</f>
        <v>118</v>
      </c>
    </row>
    <row r="15" spans="1:18" ht="16.5" x14ac:dyDescent="0.3">
      <c r="D15"/>
      <c r="E15"/>
      <c r="F15"/>
    </row>
    <row r="16" spans="1:18" ht="16.5" x14ac:dyDescent="0.3">
      <c r="C16" s="93" t="s">
        <v>210</v>
      </c>
      <c r="D16"/>
      <c r="E16"/>
      <c r="F16"/>
    </row>
    <row r="17" spans="3:6" ht="16.5" x14ac:dyDescent="0.3">
      <c r="C17" s="93" t="s">
        <v>211</v>
      </c>
      <c r="D17"/>
      <c r="E17"/>
      <c r="F17"/>
    </row>
    <row r="18" spans="3:6" ht="16.5" x14ac:dyDescent="0.3">
      <c r="C18" s="93" t="s">
        <v>212</v>
      </c>
      <c r="D18"/>
      <c r="E18"/>
      <c r="F18"/>
    </row>
    <row r="19" spans="3:6" ht="16.5" x14ac:dyDescent="0.3">
      <c r="D19"/>
      <c r="E19"/>
      <c r="F19"/>
    </row>
    <row r="20" spans="3:6" ht="16.5" x14ac:dyDescent="0.3">
      <c r="D20"/>
      <c r="E20"/>
      <c r="F20"/>
    </row>
  </sheetData>
  <mergeCells count="6">
    <mergeCell ref="A4:A5"/>
    <mergeCell ref="B4:C4"/>
    <mergeCell ref="B5:C5"/>
    <mergeCell ref="A3:C3"/>
    <mergeCell ref="A6:A11"/>
    <mergeCell ref="B6:B11"/>
  </mergeCells>
  <phoneticPr fontId="1" type="noConversion"/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T358"/>
  <sheetViews>
    <sheetView zoomScale="85" zoomScaleNormal="85" zoomScaleSheetLayoutView="85" workbookViewId="0">
      <pane xSplit="3" ySplit="4" topLeftCell="D89" activePane="bottomRight" state="frozen"/>
      <selection pane="topRight" activeCell="D1" sqref="D1"/>
      <selection pane="bottomLeft" activeCell="A5" sqref="A5"/>
      <selection pane="bottomRight" activeCell="P116" sqref="P116"/>
    </sheetView>
  </sheetViews>
  <sheetFormatPr defaultRowHeight="13.5" x14ac:dyDescent="0.3"/>
  <cols>
    <col min="1" max="1" width="4.5" style="94" customWidth="1"/>
    <col min="2" max="2" width="20" style="93" customWidth="1"/>
    <col min="3" max="9" width="14.875" style="93" customWidth="1"/>
    <col min="10" max="10" width="14.875" style="95" customWidth="1"/>
    <col min="11" max="16" width="14.875" style="93" customWidth="1"/>
    <col min="17" max="18" width="14.875" style="95" customWidth="1"/>
    <col min="19" max="21" width="17.875" style="93" customWidth="1"/>
    <col min="22" max="16384" width="9" style="93"/>
  </cols>
  <sheetData>
    <row r="1" spans="1:20" ht="32.25" thickBot="1" x14ac:dyDescent="0.35">
      <c r="A1" s="92" t="s">
        <v>373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</row>
    <row r="2" spans="1:20" ht="29.25" thickBot="1" x14ac:dyDescent="0.35">
      <c r="R2" s="96" t="s">
        <v>115</v>
      </c>
      <c r="S2" s="91" t="s">
        <v>348</v>
      </c>
      <c r="T2" s="306">
        <v>42.369</v>
      </c>
    </row>
    <row r="3" spans="1:20" ht="30.75" customHeight="1" x14ac:dyDescent="0.3">
      <c r="A3" s="163" t="s">
        <v>91</v>
      </c>
      <c r="B3" s="163" t="s">
        <v>92</v>
      </c>
      <c r="C3" s="163" t="s">
        <v>117</v>
      </c>
      <c r="D3" s="163" t="s">
        <v>93</v>
      </c>
      <c r="E3" s="163" t="s">
        <v>94</v>
      </c>
      <c r="F3" s="163" t="s">
        <v>95</v>
      </c>
      <c r="G3" s="163" t="s">
        <v>96</v>
      </c>
      <c r="H3" s="163" t="s">
        <v>97</v>
      </c>
      <c r="I3" s="163" t="s">
        <v>98</v>
      </c>
      <c r="J3" s="163" t="s">
        <v>99</v>
      </c>
      <c r="K3" s="163" t="s">
        <v>100</v>
      </c>
      <c r="L3" s="163" t="s">
        <v>101</v>
      </c>
      <c r="M3" s="163" t="s">
        <v>102</v>
      </c>
      <c r="N3" s="163" t="s">
        <v>103</v>
      </c>
      <c r="O3" s="163" t="s">
        <v>104</v>
      </c>
      <c r="P3" s="163" t="s">
        <v>105</v>
      </c>
      <c r="Q3" s="163" t="s">
        <v>106</v>
      </c>
      <c r="R3" s="163" t="s">
        <v>107</v>
      </c>
    </row>
    <row r="4" spans="1:20" s="98" customFormat="1" ht="18" customHeight="1" x14ac:dyDescent="0.3">
      <c r="A4" s="106">
        <f>ROW()-3</f>
        <v>1</v>
      </c>
      <c r="B4" s="103" t="s">
        <v>298</v>
      </c>
      <c r="C4" s="104">
        <v>1</v>
      </c>
      <c r="D4" s="100">
        <v>148479</v>
      </c>
      <c r="E4" s="100">
        <v>148479</v>
      </c>
      <c r="F4" s="100">
        <v>148479</v>
      </c>
      <c r="G4" s="100">
        <v>148479</v>
      </c>
      <c r="H4" s="100">
        <v>148479</v>
      </c>
      <c r="I4" s="100">
        <v>148479</v>
      </c>
      <c r="J4" s="97">
        <v>890874</v>
      </c>
      <c r="K4" s="100">
        <v>148479</v>
      </c>
      <c r="L4" s="100">
        <v>148479</v>
      </c>
      <c r="M4" s="100">
        <v>148479</v>
      </c>
      <c r="N4" s="100">
        <v>148479</v>
      </c>
      <c r="O4" s="100">
        <v>148479</v>
      </c>
      <c r="P4" s="100">
        <v>148479</v>
      </c>
      <c r="Q4" s="97">
        <v>890874</v>
      </c>
      <c r="R4" s="100">
        <v>1781748</v>
      </c>
    </row>
    <row r="5" spans="1:20" s="98" customFormat="1" ht="18" customHeight="1" x14ac:dyDescent="0.3">
      <c r="A5" s="106">
        <f t="shared" ref="A5:A68" si="0">ROW()-3</f>
        <v>2</v>
      </c>
      <c r="B5" s="103" t="s">
        <v>299</v>
      </c>
      <c r="C5" s="104">
        <v>1</v>
      </c>
      <c r="D5" s="100">
        <v>143229</v>
      </c>
      <c r="E5" s="100">
        <v>143229</v>
      </c>
      <c r="F5" s="100">
        <v>143229</v>
      </c>
      <c r="G5" s="100">
        <v>143229</v>
      </c>
      <c r="H5" s="100">
        <v>143229</v>
      </c>
      <c r="I5" s="100">
        <v>143229</v>
      </c>
      <c r="J5" s="97">
        <v>859374</v>
      </c>
      <c r="K5" s="100">
        <v>143229</v>
      </c>
      <c r="L5" s="100">
        <v>143229</v>
      </c>
      <c r="M5" s="100">
        <v>143229</v>
      </c>
      <c r="N5" s="100">
        <v>143229</v>
      </c>
      <c r="O5" s="100">
        <v>143229</v>
      </c>
      <c r="P5" s="100">
        <v>143229</v>
      </c>
      <c r="Q5" s="97">
        <v>859374</v>
      </c>
      <c r="R5" s="100">
        <v>1718748</v>
      </c>
    </row>
    <row r="6" spans="1:20" s="98" customFormat="1" ht="18" customHeight="1" x14ac:dyDescent="0.3">
      <c r="A6" s="106">
        <f t="shared" si="0"/>
        <v>3</v>
      </c>
      <c r="B6" s="103" t="s">
        <v>109</v>
      </c>
      <c r="C6" s="104">
        <v>1</v>
      </c>
      <c r="D6" s="100">
        <v>177735</v>
      </c>
      <c r="E6" s="100">
        <v>177735</v>
      </c>
      <c r="F6" s="100">
        <v>177735</v>
      </c>
      <c r="G6" s="100">
        <v>177735</v>
      </c>
      <c r="H6" s="100">
        <v>177735</v>
      </c>
      <c r="I6" s="100">
        <v>177735</v>
      </c>
      <c r="J6" s="97">
        <v>1066410</v>
      </c>
      <c r="K6" s="100">
        <v>177735</v>
      </c>
      <c r="L6" s="100">
        <v>177735</v>
      </c>
      <c r="M6" s="100">
        <v>177735</v>
      </c>
      <c r="N6" s="100">
        <v>177735</v>
      </c>
      <c r="O6" s="100">
        <v>177735</v>
      </c>
      <c r="P6" s="100">
        <v>177735</v>
      </c>
      <c r="Q6" s="97">
        <v>1066410</v>
      </c>
      <c r="R6" s="100">
        <v>2132820</v>
      </c>
    </row>
    <row r="7" spans="1:20" s="98" customFormat="1" ht="18" customHeight="1" x14ac:dyDescent="0.3">
      <c r="A7" s="106">
        <f t="shared" si="0"/>
        <v>4</v>
      </c>
      <c r="B7" s="103" t="s">
        <v>110</v>
      </c>
      <c r="C7" s="104">
        <v>1</v>
      </c>
      <c r="D7" s="100">
        <v>69477</v>
      </c>
      <c r="E7" s="100">
        <v>69477</v>
      </c>
      <c r="F7" s="100">
        <v>69477</v>
      </c>
      <c r="G7" s="100">
        <v>69477</v>
      </c>
      <c r="H7" s="100">
        <v>69477</v>
      </c>
      <c r="I7" s="100">
        <v>69477</v>
      </c>
      <c r="J7" s="97">
        <v>416862</v>
      </c>
      <c r="K7" s="100">
        <v>69477</v>
      </c>
      <c r="L7" s="100">
        <v>69477</v>
      </c>
      <c r="M7" s="100">
        <v>69477</v>
      </c>
      <c r="N7" s="100">
        <v>69477</v>
      </c>
      <c r="O7" s="100">
        <v>69477</v>
      </c>
      <c r="P7" s="100">
        <v>69477</v>
      </c>
      <c r="Q7" s="97">
        <v>416862</v>
      </c>
      <c r="R7" s="100">
        <v>833724</v>
      </c>
    </row>
    <row r="8" spans="1:20" s="98" customFormat="1" ht="18" customHeight="1" x14ac:dyDescent="0.3">
      <c r="A8" s="106">
        <f t="shared" si="0"/>
        <v>5</v>
      </c>
      <c r="B8" s="103" t="s">
        <v>111</v>
      </c>
      <c r="C8" s="104">
        <v>1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97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  <c r="P8" s="100">
        <v>0</v>
      </c>
      <c r="Q8" s="97">
        <v>0</v>
      </c>
      <c r="R8" s="100">
        <v>0</v>
      </c>
    </row>
    <row r="9" spans="1:20" s="98" customFormat="1" ht="18" customHeight="1" x14ac:dyDescent="0.3">
      <c r="A9" s="106">
        <f t="shared" si="0"/>
        <v>6</v>
      </c>
      <c r="B9" s="105" t="s">
        <v>298</v>
      </c>
      <c r="C9" s="104">
        <v>2</v>
      </c>
      <c r="D9" s="100"/>
      <c r="E9" s="100">
        <v>174475</v>
      </c>
      <c r="F9" s="100">
        <v>174475</v>
      </c>
      <c r="G9" s="100">
        <v>174475</v>
      </c>
      <c r="H9" s="100">
        <v>174475</v>
      </c>
      <c r="I9" s="100">
        <v>174475</v>
      </c>
      <c r="J9" s="97">
        <v>872375</v>
      </c>
      <c r="K9" s="100">
        <v>174475</v>
      </c>
      <c r="L9" s="100">
        <v>174475</v>
      </c>
      <c r="M9" s="100">
        <v>174475</v>
      </c>
      <c r="N9" s="100">
        <v>174475</v>
      </c>
      <c r="O9" s="100">
        <v>174475</v>
      </c>
      <c r="P9" s="100">
        <v>174475</v>
      </c>
      <c r="Q9" s="97">
        <v>1046850</v>
      </c>
      <c r="R9" s="100">
        <v>1919225</v>
      </c>
    </row>
    <row r="10" spans="1:20" s="98" customFormat="1" ht="18" customHeight="1" x14ac:dyDescent="0.3">
      <c r="A10" s="106">
        <f t="shared" si="0"/>
        <v>7</v>
      </c>
      <c r="B10" s="105" t="s">
        <v>299</v>
      </c>
      <c r="C10" s="104">
        <v>2</v>
      </c>
      <c r="D10" s="100"/>
      <c r="E10" s="100">
        <v>170749</v>
      </c>
      <c r="F10" s="100">
        <v>170749</v>
      </c>
      <c r="G10" s="100">
        <v>170749</v>
      </c>
      <c r="H10" s="100">
        <v>170749</v>
      </c>
      <c r="I10" s="100">
        <v>170749</v>
      </c>
      <c r="J10" s="97">
        <v>853745</v>
      </c>
      <c r="K10" s="100">
        <v>170749</v>
      </c>
      <c r="L10" s="100">
        <v>170749</v>
      </c>
      <c r="M10" s="100">
        <v>170749</v>
      </c>
      <c r="N10" s="100">
        <v>170749</v>
      </c>
      <c r="O10" s="100">
        <v>170749</v>
      </c>
      <c r="P10" s="100">
        <v>170749</v>
      </c>
      <c r="Q10" s="97">
        <v>1024494</v>
      </c>
      <c r="R10" s="100">
        <v>1878239</v>
      </c>
    </row>
    <row r="11" spans="1:20" s="98" customFormat="1" ht="18" customHeight="1" x14ac:dyDescent="0.3">
      <c r="A11" s="106">
        <f t="shared" si="0"/>
        <v>8</v>
      </c>
      <c r="B11" s="103" t="s">
        <v>109</v>
      </c>
      <c r="C11" s="104">
        <v>2</v>
      </c>
      <c r="D11" s="100"/>
      <c r="E11" s="100">
        <v>108893</v>
      </c>
      <c r="F11" s="100">
        <v>108893</v>
      </c>
      <c r="G11" s="100">
        <v>108893</v>
      </c>
      <c r="H11" s="100">
        <v>108893</v>
      </c>
      <c r="I11" s="100">
        <v>108893</v>
      </c>
      <c r="J11" s="97">
        <v>544465</v>
      </c>
      <c r="K11" s="100">
        <v>108893</v>
      </c>
      <c r="L11" s="100">
        <v>108893</v>
      </c>
      <c r="M11" s="100">
        <v>108893</v>
      </c>
      <c r="N11" s="100">
        <v>108893</v>
      </c>
      <c r="O11" s="100">
        <v>108893</v>
      </c>
      <c r="P11" s="100">
        <v>108893</v>
      </c>
      <c r="Q11" s="97">
        <v>653358</v>
      </c>
      <c r="R11" s="100">
        <v>1197823</v>
      </c>
    </row>
    <row r="12" spans="1:20" s="98" customFormat="1" ht="18" customHeight="1" x14ac:dyDescent="0.3">
      <c r="A12" s="106">
        <f t="shared" si="0"/>
        <v>9</v>
      </c>
      <c r="B12" s="103" t="s">
        <v>110</v>
      </c>
      <c r="C12" s="104">
        <v>2</v>
      </c>
      <c r="D12" s="100"/>
      <c r="E12" s="100">
        <v>141663</v>
      </c>
      <c r="F12" s="100">
        <v>141663</v>
      </c>
      <c r="G12" s="100">
        <v>141663</v>
      </c>
      <c r="H12" s="100">
        <v>141663</v>
      </c>
      <c r="I12" s="100">
        <v>141663</v>
      </c>
      <c r="J12" s="97">
        <v>708315</v>
      </c>
      <c r="K12" s="100">
        <v>141663</v>
      </c>
      <c r="L12" s="100">
        <v>141663</v>
      </c>
      <c r="M12" s="100">
        <v>141663</v>
      </c>
      <c r="N12" s="100">
        <v>141663</v>
      </c>
      <c r="O12" s="100">
        <v>141663</v>
      </c>
      <c r="P12" s="100">
        <v>141663</v>
      </c>
      <c r="Q12" s="97">
        <v>849978</v>
      </c>
      <c r="R12" s="100">
        <v>1558293</v>
      </c>
    </row>
    <row r="13" spans="1:20" s="98" customFormat="1" ht="18" customHeight="1" x14ac:dyDescent="0.3">
      <c r="A13" s="106">
        <f t="shared" si="0"/>
        <v>10</v>
      </c>
      <c r="B13" s="103" t="s">
        <v>111</v>
      </c>
      <c r="C13" s="104">
        <v>2</v>
      </c>
      <c r="D13" s="100"/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97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  <c r="P13" s="100">
        <v>0</v>
      </c>
      <c r="Q13" s="97">
        <v>0</v>
      </c>
      <c r="R13" s="100">
        <v>0</v>
      </c>
    </row>
    <row r="14" spans="1:20" s="98" customFormat="1" ht="18" customHeight="1" x14ac:dyDescent="0.3">
      <c r="A14" s="106">
        <f t="shared" si="0"/>
        <v>11</v>
      </c>
      <c r="B14" s="103" t="s">
        <v>298</v>
      </c>
      <c r="C14" s="104">
        <v>3</v>
      </c>
      <c r="D14" s="100"/>
      <c r="E14" s="100"/>
      <c r="F14" s="100">
        <v>217152</v>
      </c>
      <c r="G14" s="100">
        <v>217152</v>
      </c>
      <c r="H14" s="100">
        <v>217152</v>
      </c>
      <c r="I14" s="100">
        <v>217152</v>
      </c>
      <c r="J14" s="97">
        <v>868608</v>
      </c>
      <c r="K14" s="100">
        <v>217152</v>
      </c>
      <c r="L14" s="100">
        <v>217152</v>
      </c>
      <c r="M14" s="100">
        <v>217152</v>
      </c>
      <c r="N14" s="100">
        <v>217152</v>
      </c>
      <c r="O14" s="100">
        <v>217152</v>
      </c>
      <c r="P14" s="100">
        <v>217152</v>
      </c>
      <c r="Q14" s="97">
        <v>1302912</v>
      </c>
      <c r="R14" s="100">
        <v>2171520</v>
      </c>
    </row>
    <row r="15" spans="1:20" s="98" customFormat="1" ht="18" customHeight="1" x14ac:dyDescent="0.3">
      <c r="A15" s="106">
        <f t="shared" si="0"/>
        <v>12</v>
      </c>
      <c r="B15" s="103" t="s">
        <v>299</v>
      </c>
      <c r="C15" s="104">
        <v>3</v>
      </c>
      <c r="D15" s="100"/>
      <c r="E15" s="100"/>
      <c r="F15" s="100">
        <v>76674</v>
      </c>
      <c r="G15" s="100">
        <v>76674</v>
      </c>
      <c r="H15" s="100">
        <v>76674</v>
      </c>
      <c r="I15" s="100">
        <v>76674</v>
      </c>
      <c r="J15" s="97">
        <v>306696</v>
      </c>
      <c r="K15" s="100">
        <v>76674</v>
      </c>
      <c r="L15" s="100">
        <v>76674</v>
      </c>
      <c r="M15" s="100">
        <v>76674</v>
      </c>
      <c r="N15" s="100">
        <v>76674</v>
      </c>
      <c r="O15" s="100">
        <v>76674</v>
      </c>
      <c r="P15" s="100">
        <v>76674</v>
      </c>
      <c r="Q15" s="97">
        <v>460044</v>
      </c>
      <c r="R15" s="100">
        <v>766740</v>
      </c>
    </row>
    <row r="16" spans="1:20" s="98" customFormat="1" ht="18" customHeight="1" x14ac:dyDescent="0.3">
      <c r="A16" s="106">
        <f t="shared" si="0"/>
        <v>13</v>
      </c>
      <c r="B16" s="103" t="s">
        <v>109</v>
      </c>
      <c r="C16" s="104">
        <v>3</v>
      </c>
      <c r="D16" s="100"/>
      <c r="E16" s="100"/>
      <c r="F16" s="100">
        <v>114016</v>
      </c>
      <c r="G16" s="100">
        <v>114016</v>
      </c>
      <c r="H16" s="100">
        <v>114016</v>
      </c>
      <c r="I16" s="100">
        <v>114016</v>
      </c>
      <c r="J16" s="97">
        <v>456064</v>
      </c>
      <c r="K16" s="100">
        <v>114016</v>
      </c>
      <c r="L16" s="100">
        <v>114016</v>
      </c>
      <c r="M16" s="100">
        <v>114016</v>
      </c>
      <c r="N16" s="100">
        <v>114016</v>
      </c>
      <c r="O16" s="100">
        <v>114016</v>
      </c>
      <c r="P16" s="100">
        <v>114016</v>
      </c>
      <c r="Q16" s="97">
        <v>684096</v>
      </c>
      <c r="R16" s="100">
        <v>1140160</v>
      </c>
    </row>
    <row r="17" spans="1:18" s="98" customFormat="1" ht="18" customHeight="1" x14ac:dyDescent="0.3">
      <c r="A17" s="106">
        <f t="shared" si="0"/>
        <v>14</v>
      </c>
      <c r="B17" s="103" t="s">
        <v>110</v>
      </c>
      <c r="C17" s="104">
        <v>3</v>
      </c>
      <c r="D17" s="100"/>
      <c r="E17" s="100"/>
      <c r="F17" s="100">
        <v>216982</v>
      </c>
      <c r="G17" s="100">
        <v>216982</v>
      </c>
      <c r="H17" s="100">
        <v>216982</v>
      </c>
      <c r="I17" s="100">
        <v>216982</v>
      </c>
      <c r="J17" s="97">
        <v>867928</v>
      </c>
      <c r="K17" s="100">
        <v>216982</v>
      </c>
      <c r="L17" s="100">
        <v>216982</v>
      </c>
      <c r="M17" s="100">
        <v>216982</v>
      </c>
      <c r="N17" s="100">
        <v>216982</v>
      </c>
      <c r="O17" s="100">
        <v>216982</v>
      </c>
      <c r="P17" s="100">
        <v>216982</v>
      </c>
      <c r="Q17" s="97">
        <v>1301892</v>
      </c>
      <c r="R17" s="100">
        <v>2169820</v>
      </c>
    </row>
    <row r="18" spans="1:18" s="98" customFormat="1" ht="18" customHeight="1" x14ac:dyDescent="0.3">
      <c r="A18" s="106">
        <f t="shared" si="0"/>
        <v>15</v>
      </c>
      <c r="B18" s="103" t="s">
        <v>111</v>
      </c>
      <c r="C18" s="104">
        <v>3</v>
      </c>
      <c r="D18" s="100"/>
      <c r="E18" s="100"/>
      <c r="F18" s="100">
        <v>0</v>
      </c>
      <c r="G18" s="100">
        <v>0</v>
      </c>
      <c r="H18" s="100">
        <v>0</v>
      </c>
      <c r="I18" s="100">
        <v>0</v>
      </c>
      <c r="J18" s="97">
        <v>0</v>
      </c>
      <c r="K18" s="100">
        <v>0</v>
      </c>
      <c r="L18" s="100">
        <v>0</v>
      </c>
      <c r="M18" s="100">
        <v>0</v>
      </c>
      <c r="N18" s="100">
        <v>0</v>
      </c>
      <c r="O18" s="100">
        <v>0</v>
      </c>
      <c r="P18" s="100">
        <v>0</v>
      </c>
      <c r="Q18" s="97">
        <v>0</v>
      </c>
      <c r="R18" s="100">
        <v>0</v>
      </c>
    </row>
    <row r="19" spans="1:18" s="98" customFormat="1" ht="18" customHeight="1" x14ac:dyDescent="0.3">
      <c r="A19" s="106">
        <f t="shared" si="0"/>
        <v>16</v>
      </c>
      <c r="B19" s="103" t="s">
        <v>298</v>
      </c>
      <c r="C19" s="104">
        <v>4</v>
      </c>
      <c r="D19" s="100"/>
      <c r="E19" s="100"/>
      <c r="F19" s="100"/>
      <c r="G19" s="100">
        <v>249837</v>
      </c>
      <c r="H19" s="100">
        <v>249837</v>
      </c>
      <c r="I19" s="100">
        <v>249837</v>
      </c>
      <c r="J19" s="97">
        <v>749511</v>
      </c>
      <c r="K19" s="100">
        <v>249837</v>
      </c>
      <c r="L19" s="100">
        <v>249837</v>
      </c>
      <c r="M19" s="100">
        <v>249837</v>
      </c>
      <c r="N19" s="100">
        <v>249837</v>
      </c>
      <c r="O19" s="100">
        <v>249837</v>
      </c>
      <c r="P19" s="100">
        <v>249837</v>
      </c>
      <c r="Q19" s="97">
        <v>1499022</v>
      </c>
      <c r="R19" s="100">
        <v>2248533</v>
      </c>
    </row>
    <row r="20" spans="1:18" s="98" customFormat="1" ht="18" customHeight="1" x14ac:dyDescent="0.3">
      <c r="A20" s="106">
        <f t="shared" si="0"/>
        <v>17</v>
      </c>
      <c r="B20" s="103" t="s">
        <v>299</v>
      </c>
      <c r="C20" s="104">
        <v>4</v>
      </c>
      <c r="D20" s="100"/>
      <c r="E20" s="100"/>
      <c r="F20" s="100"/>
      <c r="G20" s="100">
        <v>76759</v>
      </c>
      <c r="H20" s="100">
        <v>76759</v>
      </c>
      <c r="I20" s="100">
        <v>76759</v>
      </c>
      <c r="J20" s="97">
        <v>230277</v>
      </c>
      <c r="K20" s="100">
        <v>76759</v>
      </c>
      <c r="L20" s="100">
        <v>76759</v>
      </c>
      <c r="M20" s="100">
        <v>76759</v>
      </c>
      <c r="N20" s="100">
        <v>76759</v>
      </c>
      <c r="O20" s="100">
        <v>76759</v>
      </c>
      <c r="P20" s="100">
        <v>76759</v>
      </c>
      <c r="Q20" s="97">
        <v>460554</v>
      </c>
      <c r="R20" s="100">
        <v>690831</v>
      </c>
    </row>
    <row r="21" spans="1:18" s="98" customFormat="1" ht="18" customHeight="1" x14ac:dyDescent="0.3">
      <c r="A21" s="106">
        <f t="shared" si="0"/>
        <v>18</v>
      </c>
      <c r="B21" s="103" t="s">
        <v>109</v>
      </c>
      <c r="C21" s="104">
        <v>4</v>
      </c>
      <c r="D21" s="100"/>
      <c r="E21" s="100"/>
      <c r="F21" s="100"/>
      <c r="G21" s="100">
        <v>276509</v>
      </c>
      <c r="H21" s="100">
        <v>276509</v>
      </c>
      <c r="I21" s="100">
        <v>276509</v>
      </c>
      <c r="J21" s="97">
        <v>829527</v>
      </c>
      <c r="K21" s="100">
        <v>276509</v>
      </c>
      <c r="L21" s="100">
        <v>276509</v>
      </c>
      <c r="M21" s="100">
        <v>276509</v>
      </c>
      <c r="N21" s="100">
        <v>276509</v>
      </c>
      <c r="O21" s="100">
        <v>276509</v>
      </c>
      <c r="P21" s="100">
        <v>276509</v>
      </c>
      <c r="Q21" s="97">
        <v>1659054</v>
      </c>
      <c r="R21" s="100">
        <v>2488581</v>
      </c>
    </row>
    <row r="22" spans="1:18" s="99" customFormat="1" ht="18" customHeight="1" x14ac:dyDescent="0.3">
      <c r="A22" s="106">
        <f t="shared" si="0"/>
        <v>19</v>
      </c>
      <c r="B22" s="103" t="s">
        <v>110</v>
      </c>
      <c r="C22" s="104">
        <v>4</v>
      </c>
      <c r="D22" s="100"/>
      <c r="E22" s="100"/>
      <c r="F22" s="100"/>
      <c r="G22" s="100">
        <v>165245</v>
      </c>
      <c r="H22" s="100">
        <v>165245</v>
      </c>
      <c r="I22" s="100">
        <v>165245</v>
      </c>
      <c r="J22" s="97">
        <v>495735</v>
      </c>
      <c r="K22" s="100">
        <v>165245</v>
      </c>
      <c r="L22" s="100">
        <v>165245</v>
      </c>
      <c r="M22" s="100">
        <v>165245</v>
      </c>
      <c r="N22" s="100">
        <v>165245</v>
      </c>
      <c r="O22" s="100">
        <v>165245</v>
      </c>
      <c r="P22" s="100">
        <v>165245</v>
      </c>
      <c r="Q22" s="97">
        <v>991470</v>
      </c>
      <c r="R22" s="100">
        <v>1487205</v>
      </c>
    </row>
    <row r="23" spans="1:18" s="99" customFormat="1" ht="18" customHeight="1" x14ac:dyDescent="0.3">
      <c r="A23" s="106">
        <f t="shared" si="0"/>
        <v>20</v>
      </c>
      <c r="B23" s="103" t="s">
        <v>111</v>
      </c>
      <c r="C23" s="104">
        <v>4</v>
      </c>
      <c r="D23" s="100"/>
      <c r="E23" s="100"/>
      <c r="F23" s="100"/>
      <c r="G23" s="100">
        <v>0</v>
      </c>
      <c r="H23" s="100">
        <v>0</v>
      </c>
      <c r="I23" s="100">
        <v>0</v>
      </c>
      <c r="J23" s="97">
        <v>0</v>
      </c>
      <c r="K23" s="100">
        <v>0</v>
      </c>
      <c r="L23" s="100">
        <v>0</v>
      </c>
      <c r="M23" s="100">
        <v>0</v>
      </c>
      <c r="N23" s="100">
        <v>0</v>
      </c>
      <c r="O23" s="100">
        <v>0</v>
      </c>
      <c r="P23" s="100">
        <v>0</v>
      </c>
      <c r="Q23" s="97">
        <v>0</v>
      </c>
      <c r="R23" s="100">
        <v>0</v>
      </c>
    </row>
    <row r="24" spans="1:18" s="99" customFormat="1" ht="18" customHeight="1" x14ac:dyDescent="0.3">
      <c r="A24" s="106">
        <f t="shared" si="0"/>
        <v>21</v>
      </c>
      <c r="B24" s="103" t="s">
        <v>298</v>
      </c>
      <c r="C24" s="104">
        <v>5</v>
      </c>
      <c r="D24" s="100"/>
      <c r="E24" s="100"/>
      <c r="F24" s="100"/>
      <c r="G24" s="100"/>
      <c r="H24" s="100">
        <v>176931</v>
      </c>
      <c r="I24" s="100">
        <v>176931</v>
      </c>
      <c r="J24" s="97">
        <v>353862</v>
      </c>
      <c r="K24" s="100">
        <v>176931</v>
      </c>
      <c r="L24" s="100">
        <v>176931</v>
      </c>
      <c r="M24" s="100">
        <v>176931</v>
      </c>
      <c r="N24" s="100">
        <v>176931</v>
      </c>
      <c r="O24" s="100">
        <v>176931</v>
      </c>
      <c r="P24" s="100">
        <v>176931</v>
      </c>
      <c r="Q24" s="97">
        <v>1061586</v>
      </c>
      <c r="R24" s="100">
        <v>1415448</v>
      </c>
    </row>
    <row r="25" spans="1:18" s="98" customFormat="1" ht="18" customHeight="1" x14ac:dyDescent="0.3">
      <c r="A25" s="106">
        <f t="shared" si="0"/>
        <v>22</v>
      </c>
      <c r="B25" s="105" t="s">
        <v>299</v>
      </c>
      <c r="C25" s="104">
        <v>5</v>
      </c>
      <c r="D25" s="100"/>
      <c r="E25" s="100"/>
      <c r="F25" s="100"/>
      <c r="G25" s="100"/>
      <c r="H25" s="100">
        <v>172654</v>
      </c>
      <c r="I25" s="100">
        <v>172654</v>
      </c>
      <c r="J25" s="97">
        <v>345308</v>
      </c>
      <c r="K25" s="100">
        <v>172654</v>
      </c>
      <c r="L25" s="100">
        <v>172654</v>
      </c>
      <c r="M25" s="100">
        <v>172654</v>
      </c>
      <c r="N25" s="100">
        <v>172654</v>
      </c>
      <c r="O25" s="100">
        <v>172654</v>
      </c>
      <c r="P25" s="100">
        <v>172654</v>
      </c>
      <c r="Q25" s="97">
        <v>1035924</v>
      </c>
      <c r="R25" s="100">
        <v>1381232</v>
      </c>
    </row>
    <row r="26" spans="1:18" s="98" customFormat="1" ht="18" customHeight="1" x14ac:dyDescent="0.3">
      <c r="A26" s="106">
        <f t="shared" si="0"/>
        <v>23</v>
      </c>
      <c r="B26" s="103" t="s">
        <v>109</v>
      </c>
      <c r="C26" s="104">
        <v>5</v>
      </c>
      <c r="D26" s="100"/>
      <c r="E26" s="100"/>
      <c r="F26" s="100"/>
      <c r="G26" s="100"/>
      <c r="H26" s="100">
        <v>167870</v>
      </c>
      <c r="I26" s="100">
        <v>167870</v>
      </c>
      <c r="J26" s="97">
        <v>335740</v>
      </c>
      <c r="K26" s="100">
        <v>167870</v>
      </c>
      <c r="L26" s="100">
        <v>167870</v>
      </c>
      <c r="M26" s="100">
        <v>167870</v>
      </c>
      <c r="N26" s="100">
        <v>167870</v>
      </c>
      <c r="O26" s="100">
        <v>167870</v>
      </c>
      <c r="P26" s="100">
        <v>167870</v>
      </c>
      <c r="Q26" s="97">
        <v>1007220</v>
      </c>
      <c r="R26" s="100">
        <v>1342960</v>
      </c>
    </row>
    <row r="27" spans="1:18" s="98" customFormat="1" ht="18" customHeight="1" x14ac:dyDescent="0.3">
      <c r="A27" s="106">
        <f t="shared" si="0"/>
        <v>24</v>
      </c>
      <c r="B27" s="103" t="s">
        <v>110</v>
      </c>
      <c r="C27" s="104">
        <v>5</v>
      </c>
      <c r="D27" s="100"/>
      <c r="E27" s="100"/>
      <c r="F27" s="100"/>
      <c r="G27" s="100"/>
      <c r="H27" s="100">
        <v>141451</v>
      </c>
      <c r="I27" s="100">
        <v>141451</v>
      </c>
      <c r="J27" s="97">
        <v>282902</v>
      </c>
      <c r="K27" s="100">
        <v>141451</v>
      </c>
      <c r="L27" s="100">
        <v>141451</v>
      </c>
      <c r="M27" s="100">
        <v>141451</v>
      </c>
      <c r="N27" s="100">
        <v>141451</v>
      </c>
      <c r="O27" s="100">
        <v>141451</v>
      </c>
      <c r="P27" s="100">
        <v>141451</v>
      </c>
      <c r="Q27" s="97">
        <v>848706</v>
      </c>
      <c r="R27" s="100">
        <v>1131608</v>
      </c>
    </row>
    <row r="28" spans="1:18" s="98" customFormat="1" ht="18" customHeight="1" x14ac:dyDescent="0.3">
      <c r="A28" s="106">
        <f t="shared" si="0"/>
        <v>25</v>
      </c>
      <c r="B28" s="103" t="s">
        <v>111</v>
      </c>
      <c r="C28" s="104">
        <v>5</v>
      </c>
      <c r="D28" s="100"/>
      <c r="E28" s="100"/>
      <c r="F28" s="100"/>
      <c r="G28" s="100"/>
      <c r="H28" s="100">
        <v>0</v>
      </c>
      <c r="I28" s="100">
        <v>0</v>
      </c>
      <c r="J28" s="97"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</v>
      </c>
      <c r="P28" s="100">
        <v>0</v>
      </c>
      <c r="Q28" s="97">
        <v>0</v>
      </c>
      <c r="R28" s="100">
        <v>0</v>
      </c>
    </row>
    <row r="29" spans="1:18" s="98" customFormat="1" ht="18" customHeight="1" x14ac:dyDescent="0.3">
      <c r="A29" s="106">
        <f t="shared" si="0"/>
        <v>26</v>
      </c>
      <c r="B29" s="103" t="s">
        <v>298</v>
      </c>
      <c r="C29" s="104">
        <v>6</v>
      </c>
      <c r="D29" s="100"/>
      <c r="E29" s="100"/>
      <c r="F29" s="100"/>
      <c r="G29" s="100"/>
      <c r="H29" s="100"/>
      <c r="I29" s="100">
        <v>115667</v>
      </c>
      <c r="J29" s="97">
        <v>115667</v>
      </c>
      <c r="K29" s="100">
        <v>115667</v>
      </c>
      <c r="L29" s="100">
        <v>115667</v>
      </c>
      <c r="M29" s="100">
        <v>115667</v>
      </c>
      <c r="N29" s="100">
        <v>115667</v>
      </c>
      <c r="O29" s="100">
        <v>115667</v>
      </c>
      <c r="P29" s="100">
        <v>115667</v>
      </c>
      <c r="Q29" s="97">
        <v>694002</v>
      </c>
      <c r="R29" s="100">
        <v>809669</v>
      </c>
    </row>
    <row r="30" spans="1:18" s="98" customFormat="1" ht="18" customHeight="1" x14ac:dyDescent="0.3">
      <c r="A30" s="106">
        <f t="shared" si="0"/>
        <v>27</v>
      </c>
      <c r="B30" s="103" t="s">
        <v>299</v>
      </c>
      <c r="C30" s="104">
        <v>6</v>
      </c>
      <c r="D30" s="100"/>
      <c r="E30" s="100"/>
      <c r="F30" s="100"/>
      <c r="G30" s="100"/>
      <c r="H30" s="100"/>
      <c r="I30" s="100">
        <v>99537</v>
      </c>
      <c r="J30" s="97">
        <v>99537</v>
      </c>
      <c r="K30" s="100">
        <v>99537</v>
      </c>
      <c r="L30" s="100">
        <v>99537</v>
      </c>
      <c r="M30" s="100">
        <v>99537</v>
      </c>
      <c r="N30" s="100">
        <v>99537</v>
      </c>
      <c r="O30" s="100">
        <v>99537</v>
      </c>
      <c r="P30" s="100">
        <v>99537</v>
      </c>
      <c r="Q30" s="97">
        <v>597222</v>
      </c>
      <c r="R30" s="100">
        <v>696759</v>
      </c>
    </row>
    <row r="31" spans="1:18" s="98" customFormat="1" ht="18" customHeight="1" x14ac:dyDescent="0.3">
      <c r="A31" s="106">
        <f t="shared" si="0"/>
        <v>28</v>
      </c>
      <c r="B31" s="103" t="s">
        <v>109</v>
      </c>
      <c r="C31" s="104">
        <v>6</v>
      </c>
      <c r="D31" s="100"/>
      <c r="E31" s="100"/>
      <c r="F31" s="100"/>
      <c r="G31" s="100"/>
      <c r="H31" s="100"/>
      <c r="I31" s="100">
        <v>86793</v>
      </c>
      <c r="J31" s="97">
        <v>86793</v>
      </c>
      <c r="K31" s="100">
        <v>86793</v>
      </c>
      <c r="L31" s="100">
        <v>86793</v>
      </c>
      <c r="M31" s="100">
        <v>86793</v>
      </c>
      <c r="N31" s="100">
        <v>86793</v>
      </c>
      <c r="O31" s="100">
        <v>86793</v>
      </c>
      <c r="P31" s="100">
        <v>86793</v>
      </c>
      <c r="Q31" s="97">
        <v>520758</v>
      </c>
      <c r="R31" s="100">
        <v>607551</v>
      </c>
    </row>
    <row r="32" spans="1:18" s="98" customFormat="1" ht="18" customHeight="1" x14ac:dyDescent="0.3">
      <c r="A32" s="106">
        <f t="shared" si="0"/>
        <v>29</v>
      </c>
      <c r="B32" s="103" t="s">
        <v>110</v>
      </c>
      <c r="C32" s="104">
        <v>6</v>
      </c>
      <c r="D32" s="100"/>
      <c r="E32" s="100"/>
      <c r="F32" s="100"/>
      <c r="G32" s="100"/>
      <c r="H32" s="100"/>
      <c r="I32" s="100">
        <v>108597</v>
      </c>
      <c r="J32" s="97">
        <v>108597</v>
      </c>
      <c r="K32" s="100">
        <v>108597</v>
      </c>
      <c r="L32" s="100">
        <v>108597</v>
      </c>
      <c r="M32" s="100">
        <v>108597</v>
      </c>
      <c r="N32" s="100">
        <v>108597</v>
      </c>
      <c r="O32" s="100">
        <v>108597</v>
      </c>
      <c r="P32" s="100">
        <v>108597</v>
      </c>
      <c r="Q32" s="97">
        <v>651582</v>
      </c>
      <c r="R32" s="100">
        <v>760179</v>
      </c>
    </row>
    <row r="33" spans="1:18" s="98" customFormat="1" ht="18" customHeight="1" x14ac:dyDescent="0.3">
      <c r="A33" s="106">
        <f t="shared" si="0"/>
        <v>30</v>
      </c>
      <c r="B33" s="103" t="s">
        <v>111</v>
      </c>
      <c r="C33" s="104">
        <v>6</v>
      </c>
      <c r="D33" s="100"/>
      <c r="E33" s="100"/>
      <c r="F33" s="100"/>
      <c r="G33" s="100"/>
      <c r="H33" s="100"/>
      <c r="I33" s="100">
        <v>0</v>
      </c>
      <c r="J33" s="97">
        <v>0</v>
      </c>
      <c r="K33" s="100">
        <v>0</v>
      </c>
      <c r="L33" s="100">
        <v>0</v>
      </c>
      <c r="M33" s="100">
        <v>0</v>
      </c>
      <c r="N33" s="100">
        <v>0</v>
      </c>
      <c r="O33" s="100">
        <v>0</v>
      </c>
      <c r="P33" s="100">
        <v>0</v>
      </c>
      <c r="Q33" s="97">
        <v>0</v>
      </c>
      <c r="R33" s="100">
        <v>0</v>
      </c>
    </row>
    <row r="34" spans="1:18" s="98" customFormat="1" ht="18" customHeight="1" x14ac:dyDescent="0.3">
      <c r="A34" s="106">
        <f t="shared" si="0"/>
        <v>31</v>
      </c>
      <c r="B34" s="103" t="s">
        <v>298</v>
      </c>
      <c r="C34" s="104">
        <v>7</v>
      </c>
      <c r="D34" s="100"/>
      <c r="E34" s="100"/>
      <c r="F34" s="100"/>
      <c r="G34" s="100"/>
      <c r="H34" s="100"/>
      <c r="I34" s="100"/>
      <c r="J34" s="97"/>
      <c r="K34" s="100">
        <v>262961</v>
      </c>
      <c r="L34" s="100">
        <v>262961</v>
      </c>
      <c r="M34" s="100">
        <v>262961</v>
      </c>
      <c r="N34" s="100">
        <v>262961</v>
      </c>
      <c r="O34" s="100">
        <v>262961</v>
      </c>
      <c r="P34" s="100">
        <v>262961</v>
      </c>
      <c r="Q34" s="97">
        <v>1577766</v>
      </c>
      <c r="R34" s="100">
        <v>1577766</v>
      </c>
    </row>
    <row r="35" spans="1:18" s="98" customFormat="1" ht="18" customHeight="1" x14ac:dyDescent="0.3">
      <c r="A35" s="106">
        <f t="shared" si="0"/>
        <v>32</v>
      </c>
      <c r="B35" s="103" t="s">
        <v>299</v>
      </c>
      <c r="C35" s="104">
        <v>7</v>
      </c>
      <c r="D35" s="100"/>
      <c r="E35" s="100"/>
      <c r="F35" s="100"/>
      <c r="G35" s="100"/>
      <c r="H35" s="100"/>
      <c r="I35" s="100"/>
      <c r="J35" s="97"/>
      <c r="K35" s="100">
        <v>129470</v>
      </c>
      <c r="L35" s="100">
        <v>129470</v>
      </c>
      <c r="M35" s="100">
        <v>129470</v>
      </c>
      <c r="N35" s="100">
        <v>129470</v>
      </c>
      <c r="O35" s="100">
        <v>129470</v>
      </c>
      <c r="P35" s="100">
        <v>129470</v>
      </c>
      <c r="Q35" s="97">
        <v>776820</v>
      </c>
      <c r="R35" s="100">
        <v>776820</v>
      </c>
    </row>
    <row r="36" spans="1:18" s="98" customFormat="1" ht="18" customHeight="1" x14ac:dyDescent="0.3">
      <c r="A36" s="106">
        <f t="shared" si="0"/>
        <v>33</v>
      </c>
      <c r="B36" s="103" t="s">
        <v>109</v>
      </c>
      <c r="C36" s="104">
        <v>7</v>
      </c>
      <c r="D36" s="100"/>
      <c r="E36" s="100"/>
      <c r="F36" s="100"/>
      <c r="G36" s="100"/>
      <c r="H36" s="100"/>
      <c r="I36" s="100"/>
      <c r="J36" s="97"/>
      <c r="K36" s="100">
        <v>91492</v>
      </c>
      <c r="L36" s="100">
        <v>91492</v>
      </c>
      <c r="M36" s="100">
        <v>91492</v>
      </c>
      <c r="N36" s="100">
        <v>91492</v>
      </c>
      <c r="O36" s="100">
        <v>91492</v>
      </c>
      <c r="P36" s="100">
        <v>91492</v>
      </c>
      <c r="Q36" s="97">
        <v>548952</v>
      </c>
      <c r="R36" s="100">
        <v>548952</v>
      </c>
    </row>
    <row r="37" spans="1:18" s="99" customFormat="1" ht="18" customHeight="1" x14ac:dyDescent="0.3">
      <c r="A37" s="106">
        <f t="shared" si="0"/>
        <v>34</v>
      </c>
      <c r="B37" s="103" t="s">
        <v>110</v>
      </c>
      <c r="C37" s="104">
        <v>7</v>
      </c>
      <c r="D37" s="100"/>
      <c r="E37" s="100"/>
      <c r="F37" s="100"/>
      <c r="G37" s="100"/>
      <c r="H37" s="100"/>
      <c r="I37" s="100"/>
      <c r="J37" s="97"/>
      <c r="K37" s="100">
        <v>100722</v>
      </c>
      <c r="L37" s="100">
        <v>100722</v>
      </c>
      <c r="M37" s="100">
        <v>100722</v>
      </c>
      <c r="N37" s="100">
        <v>100722</v>
      </c>
      <c r="O37" s="100">
        <v>100722</v>
      </c>
      <c r="P37" s="100">
        <v>100722</v>
      </c>
      <c r="Q37" s="97">
        <v>604332</v>
      </c>
      <c r="R37" s="100">
        <v>604332</v>
      </c>
    </row>
    <row r="38" spans="1:18" s="99" customFormat="1" ht="18" customHeight="1" x14ac:dyDescent="0.3">
      <c r="A38" s="106">
        <f t="shared" si="0"/>
        <v>35</v>
      </c>
      <c r="B38" s="103" t="s">
        <v>111</v>
      </c>
      <c r="C38" s="104">
        <v>7</v>
      </c>
      <c r="D38" s="100"/>
      <c r="E38" s="100"/>
      <c r="F38" s="100"/>
      <c r="G38" s="100"/>
      <c r="H38" s="100"/>
      <c r="I38" s="100"/>
      <c r="J38" s="97"/>
      <c r="K38" s="100">
        <v>0</v>
      </c>
      <c r="L38" s="100">
        <v>0</v>
      </c>
      <c r="M38" s="100">
        <v>0</v>
      </c>
      <c r="N38" s="100">
        <v>0</v>
      </c>
      <c r="O38" s="100">
        <v>0</v>
      </c>
      <c r="P38" s="100">
        <v>0</v>
      </c>
      <c r="Q38" s="97">
        <v>0</v>
      </c>
      <c r="R38" s="100">
        <v>0</v>
      </c>
    </row>
    <row r="39" spans="1:18" s="99" customFormat="1" ht="18" customHeight="1" x14ac:dyDescent="0.3">
      <c r="A39" s="106">
        <f t="shared" si="0"/>
        <v>36</v>
      </c>
      <c r="B39" s="103" t="s">
        <v>298</v>
      </c>
      <c r="C39" s="104">
        <v>8</v>
      </c>
      <c r="D39" s="100"/>
      <c r="E39" s="100"/>
      <c r="F39" s="100"/>
      <c r="G39" s="100"/>
      <c r="H39" s="100"/>
      <c r="I39" s="100"/>
      <c r="J39" s="97"/>
      <c r="K39" s="100"/>
      <c r="L39" s="100">
        <v>265671</v>
      </c>
      <c r="M39" s="100">
        <v>265671</v>
      </c>
      <c r="N39" s="100">
        <v>265671</v>
      </c>
      <c r="O39" s="100">
        <v>265671</v>
      </c>
      <c r="P39" s="100">
        <v>265671</v>
      </c>
      <c r="Q39" s="97">
        <v>1328355</v>
      </c>
      <c r="R39" s="100">
        <v>1328355</v>
      </c>
    </row>
    <row r="40" spans="1:18" s="99" customFormat="1" ht="18" customHeight="1" x14ac:dyDescent="0.3">
      <c r="A40" s="106">
        <f t="shared" si="0"/>
        <v>37</v>
      </c>
      <c r="B40" s="103" t="s">
        <v>299</v>
      </c>
      <c r="C40" s="104">
        <v>8</v>
      </c>
      <c r="D40" s="100"/>
      <c r="E40" s="100"/>
      <c r="F40" s="100"/>
      <c r="G40" s="100"/>
      <c r="H40" s="100"/>
      <c r="I40" s="100"/>
      <c r="J40" s="97"/>
      <c r="K40" s="100"/>
      <c r="L40" s="100">
        <v>216135</v>
      </c>
      <c r="M40" s="100">
        <v>216135</v>
      </c>
      <c r="N40" s="100">
        <v>216135</v>
      </c>
      <c r="O40" s="100">
        <v>216135</v>
      </c>
      <c r="P40" s="100">
        <v>216135</v>
      </c>
      <c r="Q40" s="97">
        <v>1080675</v>
      </c>
      <c r="R40" s="100">
        <v>1080675</v>
      </c>
    </row>
    <row r="41" spans="1:18" s="99" customFormat="1" ht="18" customHeight="1" x14ac:dyDescent="0.3">
      <c r="A41" s="106">
        <f t="shared" si="0"/>
        <v>38</v>
      </c>
      <c r="B41" s="103" t="s">
        <v>109</v>
      </c>
      <c r="C41" s="104">
        <v>8</v>
      </c>
      <c r="D41" s="100"/>
      <c r="E41" s="100"/>
      <c r="F41" s="100"/>
      <c r="G41" s="100"/>
      <c r="H41" s="100"/>
      <c r="I41" s="100"/>
      <c r="J41" s="97"/>
      <c r="K41" s="100"/>
      <c r="L41" s="100">
        <v>140562</v>
      </c>
      <c r="M41" s="100">
        <v>140562</v>
      </c>
      <c r="N41" s="100">
        <v>140562</v>
      </c>
      <c r="O41" s="100">
        <v>140562</v>
      </c>
      <c r="P41" s="100">
        <v>140562</v>
      </c>
      <c r="Q41" s="97">
        <v>702810</v>
      </c>
      <c r="R41" s="100">
        <v>702810</v>
      </c>
    </row>
    <row r="42" spans="1:18" s="99" customFormat="1" ht="18" customHeight="1" x14ac:dyDescent="0.3">
      <c r="A42" s="106">
        <f t="shared" si="0"/>
        <v>39</v>
      </c>
      <c r="B42" s="103" t="s">
        <v>110</v>
      </c>
      <c r="C42" s="104">
        <v>8</v>
      </c>
      <c r="D42" s="100"/>
      <c r="E42" s="100"/>
      <c r="F42" s="100"/>
      <c r="G42" s="100"/>
      <c r="H42" s="100"/>
      <c r="I42" s="100"/>
      <c r="J42" s="97"/>
      <c r="K42" s="100"/>
      <c r="L42" s="100">
        <v>258473</v>
      </c>
      <c r="M42" s="100">
        <v>258473</v>
      </c>
      <c r="N42" s="100">
        <v>258473</v>
      </c>
      <c r="O42" s="100">
        <v>258473</v>
      </c>
      <c r="P42" s="100">
        <v>258473</v>
      </c>
      <c r="Q42" s="97">
        <v>1292365</v>
      </c>
      <c r="R42" s="100">
        <v>1292365</v>
      </c>
    </row>
    <row r="43" spans="1:18" s="99" customFormat="1" ht="18" customHeight="1" x14ac:dyDescent="0.3">
      <c r="A43" s="106">
        <f t="shared" si="0"/>
        <v>40</v>
      </c>
      <c r="B43" s="103" t="s">
        <v>111</v>
      </c>
      <c r="C43" s="104">
        <v>8</v>
      </c>
      <c r="D43" s="100"/>
      <c r="E43" s="100"/>
      <c r="F43" s="100"/>
      <c r="G43" s="100"/>
      <c r="H43" s="100"/>
      <c r="I43" s="100"/>
      <c r="J43" s="97"/>
      <c r="K43" s="100"/>
      <c r="L43" s="100">
        <v>0</v>
      </c>
      <c r="M43" s="100">
        <v>0</v>
      </c>
      <c r="N43" s="100">
        <v>0</v>
      </c>
      <c r="O43" s="100">
        <v>0</v>
      </c>
      <c r="P43" s="100">
        <v>0</v>
      </c>
      <c r="Q43" s="97">
        <v>0</v>
      </c>
      <c r="R43" s="100">
        <v>0</v>
      </c>
    </row>
    <row r="44" spans="1:18" s="98" customFormat="1" ht="18" customHeight="1" x14ac:dyDescent="0.3">
      <c r="A44" s="106">
        <f t="shared" si="0"/>
        <v>41</v>
      </c>
      <c r="B44" s="103" t="s">
        <v>298</v>
      </c>
      <c r="C44" s="104">
        <v>9</v>
      </c>
      <c r="D44" s="100"/>
      <c r="E44" s="100"/>
      <c r="F44" s="100"/>
      <c r="G44" s="100"/>
      <c r="H44" s="100"/>
      <c r="I44" s="100"/>
      <c r="J44" s="97"/>
      <c r="K44" s="100"/>
      <c r="L44" s="100"/>
      <c r="M44" s="100">
        <v>113085</v>
      </c>
      <c r="N44" s="100">
        <v>113085</v>
      </c>
      <c r="O44" s="100">
        <v>113085</v>
      </c>
      <c r="P44" s="100">
        <v>113085</v>
      </c>
      <c r="Q44" s="97">
        <v>452340</v>
      </c>
      <c r="R44" s="100">
        <v>452340</v>
      </c>
    </row>
    <row r="45" spans="1:18" s="98" customFormat="1" ht="18" customHeight="1" x14ac:dyDescent="0.3">
      <c r="A45" s="106">
        <f t="shared" si="0"/>
        <v>42</v>
      </c>
      <c r="B45" s="103" t="s">
        <v>299</v>
      </c>
      <c r="C45" s="104">
        <v>9</v>
      </c>
      <c r="D45" s="100"/>
      <c r="E45" s="100"/>
      <c r="F45" s="100"/>
      <c r="G45" s="100"/>
      <c r="H45" s="100"/>
      <c r="I45" s="100"/>
      <c r="J45" s="97"/>
      <c r="K45" s="100"/>
      <c r="L45" s="100"/>
      <c r="M45" s="100">
        <v>98817</v>
      </c>
      <c r="N45" s="100">
        <v>98817</v>
      </c>
      <c r="O45" s="100">
        <v>98817</v>
      </c>
      <c r="P45" s="100">
        <v>98817</v>
      </c>
      <c r="Q45" s="97">
        <v>395268</v>
      </c>
      <c r="R45" s="100">
        <v>395268</v>
      </c>
    </row>
    <row r="46" spans="1:18" s="98" customFormat="1" ht="18" customHeight="1" x14ac:dyDescent="0.3">
      <c r="A46" s="106">
        <f t="shared" si="0"/>
        <v>43</v>
      </c>
      <c r="B46" s="103" t="s">
        <v>109</v>
      </c>
      <c r="C46" s="104">
        <v>9</v>
      </c>
      <c r="D46" s="100"/>
      <c r="E46" s="100"/>
      <c r="F46" s="100"/>
      <c r="G46" s="100"/>
      <c r="H46" s="100"/>
      <c r="I46" s="100"/>
      <c r="J46" s="97"/>
      <c r="K46" s="100"/>
      <c r="L46" s="100"/>
      <c r="M46" s="100">
        <v>63253</v>
      </c>
      <c r="N46" s="100">
        <v>63253</v>
      </c>
      <c r="O46" s="100">
        <v>63253</v>
      </c>
      <c r="P46" s="100">
        <v>63253</v>
      </c>
      <c r="Q46" s="97">
        <v>253012</v>
      </c>
      <c r="R46" s="100">
        <v>253012</v>
      </c>
    </row>
    <row r="47" spans="1:18" s="98" customFormat="1" ht="18" customHeight="1" x14ac:dyDescent="0.3">
      <c r="A47" s="106">
        <f t="shared" si="0"/>
        <v>44</v>
      </c>
      <c r="B47" s="105" t="s">
        <v>110</v>
      </c>
      <c r="C47" s="104">
        <v>9</v>
      </c>
      <c r="D47" s="100"/>
      <c r="E47" s="100"/>
      <c r="F47" s="100"/>
      <c r="G47" s="100"/>
      <c r="H47" s="100"/>
      <c r="I47" s="100"/>
      <c r="J47" s="97"/>
      <c r="K47" s="100"/>
      <c r="L47" s="100"/>
      <c r="M47" s="100">
        <v>204027</v>
      </c>
      <c r="N47" s="100">
        <v>204027</v>
      </c>
      <c r="O47" s="100">
        <v>204027</v>
      </c>
      <c r="P47" s="100">
        <v>204027</v>
      </c>
      <c r="Q47" s="97">
        <v>816108</v>
      </c>
      <c r="R47" s="100">
        <v>816108</v>
      </c>
    </row>
    <row r="48" spans="1:18" s="98" customFormat="1" ht="18" customHeight="1" x14ac:dyDescent="0.3">
      <c r="A48" s="106">
        <f t="shared" si="0"/>
        <v>45</v>
      </c>
      <c r="B48" s="103" t="s">
        <v>111</v>
      </c>
      <c r="C48" s="104">
        <v>9</v>
      </c>
      <c r="D48" s="100"/>
      <c r="E48" s="100"/>
      <c r="F48" s="100"/>
      <c r="G48" s="100"/>
      <c r="H48" s="100"/>
      <c r="I48" s="100"/>
      <c r="J48" s="97"/>
      <c r="K48" s="100"/>
      <c r="L48" s="100"/>
      <c r="M48" s="100">
        <v>0</v>
      </c>
      <c r="N48" s="100">
        <v>0</v>
      </c>
      <c r="O48" s="100">
        <v>0</v>
      </c>
      <c r="P48" s="100">
        <v>0</v>
      </c>
      <c r="Q48" s="97">
        <v>0</v>
      </c>
      <c r="R48" s="100">
        <v>0</v>
      </c>
    </row>
    <row r="49" spans="1:18" s="98" customFormat="1" ht="18" customHeight="1" x14ac:dyDescent="0.3">
      <c r="A49" s="106">
        <f t="shared" si="0"/>
        <v>46</v>
      </c>
      <c r="B49" s="103" t="s">
        <v>298</v>
      </c>
      <c r="C49" s="104">
        <v>10</v>
      </c>
      <c r="D49" s="100"/>
      <c r="E49" s="100"/>
      <c r="F49" s="100"/>
      <c r="G49" s="100"/>
      <c r="H49" s="100"/>
      <c r="I49" s="100"/>
      <c r="J49" s="97"/>
      <c r="K49" s="100"/>
      <c r="L49" s="100"/>
      <c r="M49" s="100"/>
      <c r="N49" s="100">
        <v>200132</v>
      </c>
      <c r="O49" s="100">
        <v>200132</v>
      </c>
      <c r="P49" s="100">
        <v>200132</v>
      </c>
      <c r="Q49" s="97">
        <v>600396</v>
      </c>
      <c r="R49" s="100">
        <v>600396</v>
      </c>
    </row>
    <row r="50" spans="1:18" s="98" customFormat="1" ht="18" customHeight="1" x14ac:dyDescent="0.3">
      <c r="A50" s="106">
        <f t="shared" si="0"/>
        <v>47</v>
      </c>
      <c r="B50" s="103" t="s">
        <v>299</v>
      </c>
      <c r="C50" s="104">
        <v>10</v>
      </c>
      <c r="D50" s="100"/>
      <c r="E50" s="100"/>
      <c r="F50" s="100"/>
      <c r="G50" s="100"/>
      <c r="H50" s="100"/>
      <c r="I50" s="100"/>
      <c r="J50" s="97"/>
      <c r="K50" s="100"/>
      <c r="L50" s="100"/>
      <c r="M50" s="100"/>
      <c r="N50" s="100">
        <v>304707</v>
      </c>
      <c r="O50" s="100">
        <v>304707</v>
      </c>
      <c r="P50" s="100">
        <v>304707</v>
      </c>
      <c r="Q50" s="97">
        <v>914121</v>
      </c>
      <c r="R50" s="100">
        <v>914121</v>
      </c>
    </row>
    <row r="51" spans="1:18" s="98" customFormat="1" ht="18" customHeight="1" x14ac:dyDescent="0.3">
      <c r="A51" s="106">
        <f t="shared" si="0"/>
        <v>48</v>
      </c>
      <c r="B51" s="103" t="s">
        <v>109</v>
      </c>
      <c r="C51" s="106">
        <v>10</v>
      </c>
      <c r="D51" s="100"/>
      <c r="E51" s="100"/>
      <c r="F51" s="100"/>
      <c r="G51" s="100"/>
      <c r="H51" s="100"/>
      <c r="I51" s="100"/>
      <c r="J51" s="97"/>
      <c r="K51" s="100"/>
      <c r="L51" s="100"/>
      <c r="M51" s="100"/>
      <c r="N51" s="100">
        <v>101357</v>
      </c>
      <c r="O51" s="100">
        <v>101357</v>
      </c>
      <c r="P51" s="100">
        <v>101357</v>
      </c>
      <c r="Q51" s="97">
        <v>304071</v>
      </c>
      <c r="R51" s="100">
        <v>304071</v>
      </c>
    </row>
    <row r="52" spans="1:18" s="98" customFormat="1" ht="18" customHeight="1" x14ac:dyDescent="0.3">
      <c r="A52" s="106">
        <f t="shared" si="0"/>
        <v>49</v>
      </c>
      <c r="B52" s="103" t="s">
        <v>110</v>
      </c>
      <c r="C52" s="104">
        <v>10</v>
      </c>
      <c r="D52" s="100"/>
      <c r="E52" s="100"/>
      <c r="F52" s="100"/>
      <c r="G52" s="100"/>
      <c r="H52" s="100"/>
      <c r="I52" s="100"/>
      <c r="J52" s="97"/>
      <c r="K52" s="100"/>
      <c r="L52" s="100"/>
      <c r="M52" s="100"/>
      <c r="N52" s="100">
        <v>156905</v>
      </c>
      <c r="O52" s="100">
        <v>156905</v>
      </c>
      <c r="P52" s="100">
        <v>156905</v>
      </c>
      <c r="Q52" s="97">
        <v>470715</v>
      </c>
      <c r="R52" s="100">
        <v>470715</v>
      </c>
    </row>
    <row r="53" spans="1:18" s="98" customFormat="1" ht="18" customHeight="1" x14ac:dyDescent="0.3">
      <c r="A53" s="106">
        <f t="shared" si="0"/>
        <v>50</v>
      </c>
      <c r="B53" s="103" t="s">
        <v>111</v>
      </c>
      <c r="C53" s="104">
        <v>10</v>
      </c>
      <c r="D53" s="100"/>
      <c r="E53" s="100"/>
      <c r="F53" s="100"/>
      <c r="G53" s="100"/>
      <c r="H53" s="100"/>
      <c r="I53" s="100"/>
      <c r="J53" s="97"/>
      <c r="K53" s="100"/>
      <c r="L53" s="100"/>
      <c r="M53" s="100"/>
      <c r="N53" s="100">
        <v>0</v>
      </c>
      <c r="O53" s="100">
        <v>0</v>
      </c>
      <c r="P53" s="100">
        <v>0</v>
      </c>
      <c r="Q53" s="97">
        <v>0</v>
      </c>
      <c r="R53" s="100">
        <v>0</v>
      </c>
    </row>
    <row r="54" spans="1:18" s="98" customFormat="1" ht="18" customHeight="1" x14ac:dyDescent="0.3">
      <c r="A54" s="106">
        <f t="shared" si="0"/>
        <v>51</v>
      </c>
      <c r="B54" s="103" t="s">
        <v>298</v>
      </c>
      <c r="C54" s="104">
        <v>11</v>
      </c>
      <c r="D54" s="100"/>
      <c r="E54" s="100"/>
      <c r="F54" s="100"/>
      <c r="G54" s="100"/>
      <c r="H54" s="100"/>
      <c r="I54" s="100"/>
      <c r="J54" s="97"/>
      <c r="K54" s="100"/>
      <c r="L54" s="100"/>
      <c r="M54" s="100"/>
      <c r="N54" s="100"/>
      <c r="O54" s="100">
        <v>109909</v>
      </c>
      <c r="P54" s="100">
        <v>109909</v>
      </c>
      <c r="Q54" s="97">
        <v>219818</v>
      </c>
      <c r="R54" s="100">
        <v>219818</v>
      </c>
    </row>
    <row r="55" spans="1:18" s="99" customFormat="1" ht="18" customHeight="1" x14ac:dyDescent="0.3">
      <c r="A55" s="106">
        <f t="shared" si="0"/>
        <v>52</v>
      </c>
      <c r="B55" s="103" t="s">
        <v>299</v>
      </c>
      <c r="C55" s="104">
        <v>11</v>
      </c>
      <c r="D55" s="100"/>
      <c r="E55" s="100"/>
      <c r="F55" s="100"/>
      <c r="G55" s="100"/>
      <c r="H55" s="100"/>
      <c r="I55" s="100"/>
      <c r="J55" s="97"/>
      <c r="K55" s="100"/>
      <c r="L55" s="100"/>
      <c r="M55" s="100"/>
      <c r="N55" s="100"/>
      <c r="O55" s="100">
        <v>142002</v>
      </c>
      <c r="P55" s="100">
        <v>142002</v>
      </c>
      <c r="Q55" s="97">
        <v>284004</v>
      </c>
      <c r="R55" s="100">
        <v>284004</v>
      </c>
    </row>
    <row r="56" spans="1:18" s="99" customFormat="1" ht="18" customHeight="1" x14ac:dyDescent="0.3">
      <c r="A56" s="106">
        <f t="shared" si="0"/>
        <v>53</v>
      </c>
      <c r="B56" s="103" t="s">
        <v>109</v>
      </c>
      <c r="C56" s="104">
        <v>11</v>
      </c>
      <c r="D56" s="100"/>
      <c r="E56" s="100"/>
      <c r="F56" s="100"/>
      <c r="G56" s="100"/>
      <c r="H56" s="100"/>
      <c r="I56" s="100"/>
      <c r="J56" s="97"/>
      <c r="K56" s="100"/>
      <c r="L56" s="100"/>
      <c r="M56" s="100"/>
      <c r="N56" s="100"/>
      <c r="O56" s="100">
        <v>203730</v>
      </c>
      <c r="P56" s="100">
        <v>203730</v>
      </c>
      <c r="Q56" s="97">
        <v>407460</v>
      </c>
      <c r="R56" s="100">
        <v>407460</v>
      </c>
    </row>
    <row r="57" spans="1:18" s="99" customFormat="1" ht="18" customHeight="1" x14ac:dyDescent="0.3">
      <c r="A57" s="164">
        <f t="shared" si="0"/>
        <v>54</v>
      </c>
      <c r="B57" s="107" t="s">
        <v>110</v>
      </c>
      <c r="C57" s="108">
        <v>11</v>
      </c>
      <c r="D57" s="101"/>
      <c r="E57" s="101"/>
      <c r="F57" s="101"/>
      <c r="G57" s="101"/>
      <c r="H57" s="101"/>
      <c r="I57" s="101"/>
      <c r="J57" s="102"/>
      <c r="K57" s="101"/>
      <c r="L57" s="101"/>
      <c r="M57" s="101"/>
      <c r="N57" s="101"/>
      <c r="O57" s="101">
        <v>154195</v>
      </c>
      <c r="P57" s="101">
        <v>154195</v>
      </c>
      <c r="Q57" s="102">
        <v>308390</v>
      </c>
      <c r="R57" s="101">
        <v>308390</v>
      </c>
    </row>
    <row r="58" spans="1:18" s="99" customFormat="1" ht="18" customHeight="1" x14ac:dyDescent="0.3">
      <c r="A58" s="106">
        <f t="shared" si="0"/>
        <v>55</v>
      </c>
      <c r="B58" s="103" t="s">
        <v>111</v>
      </c>
      <c r="C58" s="104">
        <v>11</v>
      </c>
      <c r="D58" s="100"/>
      <c r="E58" s="100"/>
      <c r="F58" s="100"/>
      <c r="G58" s="100"/>
      <c r="H58" s="100"/>
      <c r="I58" s="100"/>
      <c r="J58" s="97"/>
      <c r="K58" s="100"/>
      <c r="L58" s="100"/>
      <c r="M58" s="100"/>
      <c r="N58" s="100"/>
      <c r="O58" s="100">
        <v>0</v>
      </c>
      <c r="P58" s="100">
        <v>0</v>
      </c>
      <c r="Q58" s="97">
        <v>0</v>
      </c>
      <c r="R58" s="100">
        <v>0</v>
      </c>
    </row>
    <row r="59" spans="1:18" s="99" customFormat="1" ht="18" customHeight="1" x14ac:dyDescent="0.3">
      <c r="A59" s="106">
        <f t="shared" si="0"/>
        <v>56</v>
      </c>
      <c r="B59" s="103" t="s">
        <v>298</v>
      </c>
      <c r="C59" s="104">
        <v>12</v>
      </c>
      <c r="D59" s="100"/>
      <c r="E59" s="100"/>
      <c r="F59" s="100"/>
      <c r="G59" s="100"/>
      <c r="H59" s="100"/>
      <c r="I59" s="100"/>
      <c r="J59" s="97"/>
      <c r="K59" s="100"/>
      <c r="L59" s="100"/>
      <c r="M59" s="100"/>
      <c r="N59" s="100"/>
      <c r="O59" s="100"/>
      <c r="P59" s="100">
        <v>320118</v>
      </c>
      <c r="Q59" s="97">
        <v>320118</v>
      </c>
      <c r="R59" s="100">
        <v>320118</v>
      </c>
    </row>
    <row r="60" spans="1:18" s="98" customFormat="1" ht="18" customHeight="1" x14ac:dyDescent="0.3">
      <c r="A60" s="106">
        <f t="shared" si="0"/>
        <v>57</v>
      </c>
      <c r="B60" s="103" t="s">
        <v>299</v>
      </c>
      <c r="C60" s="104">
        <v>12</v>
      </c>
      <c r="D60" s="100"/>
      <c r="E60" s="100"/>
      <c r="F60" s="100"/>
      <c r="G60" s="100"/>
      <c r="H60" s="100"/>
      <c r="I60" s="100"/>
      <c r="J60" s="97"/>
      <c r="K60" s="100"/>
      <c r="L60" s="100"/>
      <c r="M60" s="100"/>
      <c r="N60" s="100"/>
      <c r="O60" s="100"/>
      <c r="P60" s="100">
        <v>139419</v>
      </c>
      <c r="Q60" s="97">
        <v>139419</v>
      </c>
      <c r="R60" s="100">
        <v>139419</v>
      </c>
    </row>
    <row r="61" spans="1:18" s="99" customFormat="1" ht="18" customHeight="1" x14ac:dyDescent="0.3">
      <c r="A61" s="106">
        <f t="shared" si="0"/>
        <v>58</v>
      </c>
      <c r="B61" s="103" t="s">
        <v>109</v>
      </c>
      <c r="C61" s="106">
        <v>12</v>
      </c>
      <c r="D61" s="100"/>
      <c r="E61" s="100"/>
      <c r="F61" s="100"/>
      <c r="G61" s="100"/>
      <c r="H61" s="100"/>
      <c r="I61" s="100"/>
      <c r="J61" s="97"/>
      <c r="K61" s="100"/>
      <c r="L61" s="100"/>
      <c r="M61" s="100"/>
      <c r="N61" s="100"/>
      <c r="O61" s="100"/>
      <c r="P61" s="100">
        <v>250387</v>
      </c>
      <c r="Q61" s="97">
        <v>250387</v>
      </c>
      <c r="R61" s="100">
        <v>250387</v>
      </c>
    </row>
    <row r="62" spans="1:18" s="98" customFormat="1" ht="18" customHeight="1" x14ac:dyDescent="0.3">
      <c r="A62" s="106">
        <f t="shared" si="0"/>
        <v>59</v>
      </c>
      <c r="B62" s="103" t="s">
        <v>110</v>
      </c>
      <c r="C62" s="104">
        <v>12</v>
      </c>
      <c r="D62" s="100"/>
      <c r="E62" s="100"/>
      <c r="F62" s="100"/>
      <c r="G62" s="100"/>
      <c r="H62" s="100"/>
      <c r="I62" s="100"/>
      <c r="J62" s="97"/>
      <c r="K62" s="100"/>
      <c r="L62" s="100"/>
      <c r="M62" s="100"/>
      <c r="N62" s="100"/>
      <c r="O62" s="100"/>
      <c r="P62" s="100">
        <v>145431</v>
      </c>
      <c r="Q62" s="97">
        <v>145431</v>
      </c>
      <c r="R62" s="100">
        <v>145431</v>
      </c>
    </row>
    <row r="63" spans="1:18" s="98" customFormat="1" ht="18" customHeight="1" x14ac:dyDescent="0.3">
      <c r="A63" s="106">
        <f t="shared" si="0"/>
        <v>60</v>
      </c>
      <c r="B63" s="103" t="s">
        <v>111</v>
      </c>
      <c r="C63" s="104">
        <v>12</v>
      </c>
      <c r="D63" s="100"/>
      <c r="E63" s="100"/>
      <c r="F63" s="100"/>
      <c r="G63" s="100"/>
      <c r="H63" s="100"/>
      <c r="I63" s="100"/>
      <c r="J63" s="97"/>
      <c r="K63" s="100"/>
      <c r="L63" s="100"/>
      <c r="M63" s="100"/>
      <c r="N63" s="100"/>
      <c r="O63" s="100"/>
      <c r="P63" s="100">
        <v>0</v>
      </c>
      <c r="Q63" s="97">
        <v>0</v>
      </c>
      <c r="R63" s="100">
        <v>0</v>
      </c>
    </row>
    <row r="64" spans="1:18" s="98" customFormat="1" ht="18" customHeight="1" x14ac:dyDescent="0.3">
      <c r="A64" s="106">
        <f t="shared" si="0"/>
        <v>61</v>
      </c>
      <c r="B64" s="103"/>
      <c r="C64" s="104"/>
      <c r="D64" s="100"/>
      <c r="E64" s="100"/>
      <c r="F64" s="100"/>
      <c r="G64" s="100"/>
      <c r="H64" s="100"/>
      <c r="I64" s="100"/>
      <c r="J64" s="97"/>
      <c r="K64" s="100"/>
      <c r="L64" s="100"/>
      <c r="M64" s="100"/>
      <c r="N64" s="100"/>
      <c r="O64" s="100"/>
      <c r="P64" s="100"/>
      <c r="Q64" s="97"/>
      <c r="R64" s="100"/>
    </row>
    <row r="65" spans="1:19" s="98" customFormat="1" ht="18" customHeight="1" x14ac:dyDescent="0.3">
      <c r="A65" s="106">
        <f t="shared" si="0"/>
        <v>62</v>
      </c>
      <c r="B65" s="103"/>
      <c r="C65" s="104"/>
      <c r="D65" s="100"/>
      <c r="E65" s="100"/>
      <c r="F65" s="100"/>
      <c r="G65" s="100"/>
      <c r="H65" s="100"/>
      <c r="I65" s="100"/>
      <c r="J65" s="97"/>
      <c r="K65" s="100"/>
      <c r="L65" s="100"/>
      <c r="M65" s="100"/>
      <c r="N65" s="100"/>
      <c r="O65" s="100"/>
      <c r="P65" s="100"/>
      <c r="Q65" s="97"/>
      <c r="R65" s="100"/>
    </row>
    <row r="66" spans="1:19" s="98" customFormat="1" ht="18" customHeight="1" x14ac:dyDescent="0.3">
      <c r="A66" s="106">
        <f t="shared" si="0"/>
        <v>63</v>
      </c>
      <c r="B66" s="103"/>
      <c r="C66" s="104"/>
      <c r="D66" s="100"/>
      <c r="E66" s="100"/>
      <c r="F66" s="100"/>
      <c r="G66" s="100"/>
      <c r="H66" s="100"/>
      <c r="I66" s="100"/>
      <c r="J66" s="97"/>
      <c r="K66" s="100"/>
      <c r="L66" s="100"/>
      <c r="M66" s="100"/>
      <c r="N66" s="100"/>
      <c r="O66" s="100"/>
      <c r="P66" s="100"/>
      <c r="Q66" s="97"/>
      <c r="R66" s="100"/>
    </row>
    <row r="67" spans="1:19" s="98" customFormat="1" ht="18" customHeight="1" x14ac:dyDescent="0.3">
      <c r="A67" s="106">
        <f t="shared" si="0"/>
        <v>64</v>
      </c>
      <c r="B67" s="103"/>
      <c r="C67" s="104"/>
      <c r="D67" s="100"/>
      <c r="E67" s="100"/>
      <c r="F67" s="100"/>
      <c r="G67" s="100"/>
      <c r="H67" s="100"/>
      <c r="I67" s="100"/>
      <c r="J67" s="97"/>
      <c r="K67" s="100"/>
      <c r="L67" s="100"/>
      <c r="M67" s="100"/>
      <c r="N67" s="100"/>
      <c r="O67" s="100"/>
      <c r="P67" s="100"/>
      <c r="Q67" s="97"/>
      <c r="R67" s="100"/>
    </row>
    <row r="68" spans="1:19" s="98" customFormat="1" ht="18" customHeight="1" x14ac:dyDescent="0.3">
      <c r="A68" s="106">
        <f t="shared" si="0"/>
        <v>65</v>
      </c>
      <c r="B68" s="103"/>
      <c r="C68" s="104"/>
      <c r="D68" s="100"/>
      <c r="E68" s="100"/>
      <c r="F68" s="100"/>
      <c r="G68" s="100"/>
      <c r="H68" s="100"/>
      <c r="I68" s="100"/>
      <c r="J68" s="97"/>
      <c r="K68" s="100"/>
      <c r="L68" s="100"/>
      <c r="M68" s="100"/>
      <c r="N68" s="100"/>
      <c r="O68" s="100"/>
      <c r="P68" s="100"/>
      <c r="Q68" s="97"/>
      <c r="R68" s="100"/>
    </row>
    <row r="69" spans="1:19" s="98" customFormat="1" ht="18" customHeight="1" x14ac:dyDescent="0.3">
      <c r="A69" s="106">
        <f t="shared" ref="A69" si="1">ROW()-3</f>
        <v>66</v>
      </c>
      <c r="B69" s="103"/>
      <c r="C69" s="104"/>
      <c r="D69" s="100"/>
      <c r="E69" s="100"/>
      <c r="F69" s="100"/>
      <c r="G69" s="100"/>
      <c r="H69" s="100"/>
      <c r="I69" s="100"/>
      <c r="J69" s="97"/>
      <c r="K69" s="100"/>
      <c r="L69" s="100"/>
      <c r="M69" s="100"/>
      <c r="N69" s="100"/>
      <c r="O69" s="100"/>
      <c r="P69" s="100"/>
      <c r="Q69" s="97"/>
      <c r="R69" s="100"/>
    </row>
    <row r="70" spans="1:19" s="98" customFormat="1" ht="18" customHeight="1" x14ac:dyDescent="0.3">
      <c r="A70" s="106"/>
      <c r="B70" s="103"/>
      <c r="C70" s="104"/>
      <c r="D70" s="100"/>
      <c r="E70" s="100"/>
      <c r="F70" s="100"/>
      <c r="G70" s="100"/>
      <c r="H70" s="100"/>
      <c r="I70" s="100"/>
      <c r="J70" s="97"/>
      <c r="K70" s="100"/>
      <c r="L70" s="100"/>
      <c r="M70" s="100"/>
      <c r="N70" s="100"/>
      <c r="O70" s="100"/>
      <c r="P70" s="100"/>
      <c r="Q70" s="97"/>
      <c r="R70" s="100"/>
    </row>
    <row r="71" spans="1:19" s="98" customFormat="1" ht="18" customHeight="1" thickBot="1" x14ac:dyDescent="0.35">
      <c r="A71" s="106"/>
      <c r="B71" s="112"/>
      <c r="C71" s="314"/>
      <c r="D71" s="315"/>
      <c r="E71" s="315"/>
      <c r="F71" s="315"/>
      <c r="G71" s="315"/>
      <c r="H71" s="315"/>
      <c r="I71" s="315"/>
      <c r="J71" s="316"/>
      <c r="K71" s="315"/>
      <c r="L71" s="315"/>
      <c r="M71" s="315"/>
      <c r="N71" s="315"/>
      <c r="O71" s="315"/>
      <c r="P71" s="315"/>
      <c r="Q71" s="316"/>
      <c r="R71" s="315"/>
    </row>
    <row r="72" spans="1:19" ht="18" customHeight="1" thickBot="1" x14ac:dyDescent="0.35">
      <c r="A72" s="466" t="s">
        <v>108</v>
      </c>
      <c r="B72" s="319" t="s">
        <v>337</v>
      </c>
      <c r="C72" s="320"/>
      <c r="D72" s="321">
        <v>538920</v>
      </c>
      <c r="E72" s="321">
        <v>1134700</v>
      </c>
      <c r="F72" s="321">
        <v>1759524</v>
      </c>
      <c r="G72" s="321">
        <v>2527874</v>
      </c>
      <c r="H72" s="321">
        <v>3186780</v>
      </c>
      <c r="I72" s="321">
        <v>3597374</v>
      </c>
      <c r="J72" s="321">
        <v>12745172</v>
      </c>
      <c r="K72" s="321">
        <v>4182019</v>
      </c>
      <c r="L72" s="321">
        <v>5062860</v>
      </c>
      <c r="M72" s="321">
        <v>5542042</v>
      </c>
      <c r="N72" s="321">
        <v>6305143</v>
      </c>
      <c r="O72" s="321">
        <v>6914979</v>
      </c>
      <c r="P72" s="321">
        <v>7770334</v>
      </c>
      <c r="Q72" s="321">
        <v>35777377</v>
      </c>
      <c r="R72" s="339">
        <v>48522549</v>
      </c>
      <c r="S72" s="312">
        <f>ROUND(R72/$T$2,0)</f>
        <v>1145237</v>
      </c>
    </row>
    <row r="73" spans="1:19" ht="18" customHeight="1" x14ac:dyDescent="0.3">
      <c r="A73" s="467"/>
      <c r="B73" s="164" t="s">
        <v>298</v>
      </c>
      <c r="C73" s="107"/>
      <c r="D73" s="317"/>
      <c r="E73" s="317"/>
      <c r="F73" s="317"/>
      <c r="G73" s="317"/>
      <c r="H73" s="317"/>
      <c r="I73" s="317"/>
      <c r="J73" s="317"/>
      <c r="K73" s="317"/>
      <c r="L73" s="101"/>
      <c r="M73" s="317"/>
      <c r="N73" s="317"/>
      <c r="O73" s="317"/>
      <c r="P73" s="317"/>
      <c r="Q73" s="317"/>
      <c r="R73" s="318"/>
    </row>
    <row r="74" spans="1:19" ht="18" customHeight="1" x14ac:dyDescent="0.3">
      <c r="A74" s="467"/>
      <c r="B74" s="106" t="s">
        <v>299</v>
      </c>
      <c r="C74" s="103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65"/>
    </row>
    <row r="75" spans="1:19" ht="18" customHeight="1" x14ac:dyDescent="0.3">
      <c r="A75" s="467"/>
      <c r="B75" s="106" t="s">
        <v>109</v>
      </c>
      <c r="C75" s="103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65"/>
    </row>
    <row r="76" spans="1:19" ht="18" customHeight="1" x14ac:dyDescent="0.3">
      <c r="A76" s="467"/>
      <c r="B76" s="106" t="s">
        <v>110</v>
      </c>
      <c r="C76" s="103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65"/>
    </row>
    <row r="77" spans="1:19" ht="18" customHeight="1" x14ac:dyDescent="0.3">
      <c r="A77" s="468"/>
      <c r="B77" s="115" t="s">
        <v>111</v>
      </c>
      <c r="C77" s="109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66"/>
    </row>
    <row r="78" spans="1:19" ht="18" customHeight="1" x14ac:dyDescent="0.3">
      <c r="A78" s="469" t="s">
        <v>112</v>
      </c>
      <c r="B78" s="117" t="s">
        <v>338</v>
      </c>
      <c r="C78" s="118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67"/>
    </row>
    <row r="79" spans="1:19" ht="18" customHeight="1" x14ac:dyDescent="0.3">
      <c r="A79" s="467"/>
      <c r="B79" s="120" t="s">
        <v>298</v>
      </c>
      <c r="C79" s="121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3"/>
      <c r="R79" s="168"/>
    </row>
    <row r="80" spans="1:19" ht="18" customHeight="1" x14ac:dyDescent="0.3">
      <c r="A80" s="467"/>
      <c r="B80" s="120" t="s">
        <v>299</v>
      </c>
      <c r="C80" s="121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3"/>
      <c r="R80" s="168"/>
    </row>
    <row r="81" spans="1:20" ht="18" customHeight="1" x14ac:dyDescent="0.3">
      <c r="A81" s="467"/>
      <c r="B81" s="120" t="s">
        <v>109</v>
      </c>
      <c r="C81" s="121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3"/>
      <c r="R81" s="168"/>
    </row>
    <row r="82" spans="1:20" ht="18" customHeight="1" x14ac:dyDescent="0.3">
      <c r="A82" s="467"/>
      <c r="B82" s="120" t="s">
        <v>110</v>
      </c>
      <c r="C82" s="121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3"/>
      <c r="R82" s="168"/>
    </row>
    <row r="83" spans="1:20" ht="18" customHeight="1" x14ac:dyDescent="0.3">
      <c r="A83" s="468"/>
      <c r="B83" s="120" t="s">
        <v>111</v>
      </c>
      <c r="C83" s="121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3"/>
      <c r="R83" s="168"/>
    </row>
    <row r="84" spans="1:20" ht="18" customHeight="1" x14ac:dyDescent="0.3">
      <c r="A84" s="469" t="s">
        <v>113</v>
      </c>
      <c r="B84" s="124" t="s">
        <v>339</v>
      </c>
      <c r="C84" s="12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27"/>
      <c r="R84" s="126"/>
    </row>
    <row r="85" spans="1:20" ht="18" customHeight="1" x14ac:dyDescent="0.3">
      <c r="A85" s="467"/>
      <c r="B85" s="120" t="s">
        <v>298</v>
      </c>
      <c r="C85" s="121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3"/>
      <c r="R85" s="122"/>
    </row>
    <row r="86" spans="1:20" ht="18" customHeight="1" x14ac:dyDescent="0.3">
      <c r="A86" s="467"/>
      <c r="B86" s="120" t="s">
        <v>299</v>
      </c>
      <c r="C86" s="121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3"/>
      <c r="R86" s="122"/>
    </row>
    <row r="87" spans="1:20" ht="18" customHeight="1" x14ac:dyDescent="0.3">
      <c r="A87" s="467"/>
      <c r="B87" s="120" t="s">
        <v>109</v>
      </c>
      <c r="C87" s="121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3"/>
      <c r="R87" s="122"/>
    </row>
    <row r="88" spans="1:20" ht="18" customHeight="1" x14ac:dyDescent="0.3">
      <c r="A88" s="467"/>
      <c r="B88" s="120" t="s">
        <v>110</v>
      </c>
      <c r="C88" s="121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3"/>
      <c r="R88" s="122"/>
    </row>
    <row r="89" spans="1:20" ht="18" customHeight="1" x14ac:dyDescent="0.3">
      <c r="A89" s="467"/>
      <c r="B89" s="120" t="s">
        <v>111</v>
      </c>
      <c r="C89" s="121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3"/>
      <c r="R89" s="122"/>
    </row>
    <row r="90" spans="1:20" ht="18" customHeight="1" x14ac:dyDescent="0.3">
      <c r="A90" s="467"/>
      <c r="B90" s="124" t="s">
        <v>340</v>
      </c>
      <c r="C90" s="125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29"/>
      <c r="R90" s="128"/>
    </row>
    <row r="91" spans="1:20" ht="18" customHeight="1" x14ac:dyDescent="0.3">
      <c r="A91" s="467"/>
      <c r="B91" s="120" t="s">
        <v>298</v>
      </c>
      <c r="C91" s="121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1"/>
      <c r="R91" s="130"/>
      <c r="T91" s="132"/>
    </row>
    <row r="92" spans="1:20" ht="18" customHeight="1" x14ac:dyDescent="0.3">
      <c r="A92" s="467"/>
      <c r="B92" s="120" t="s">
        <v>299</v>
      </c>
      <c r="C92" s="121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1"/>
      <c r="R92" s="130"/>
    </row>
    <row r="93" spans="1:20" ht="18" customHeight="1" x14ac:dyDescent="0.3">
      <c r="A93" s="467"/>
      <c r="B93" s="120" t="s">
        <v>109</v>
      </c>
      <c r="C93" s="121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1"/>
      <c r="R93" s="130"/>
    </row>
    <row r="94" spans="1:20" ht="18" customHeight="1" x14ac:dyDescent="0.3">
      <c r="A94" s="467"/>
      <c r="B94" s="120" t="s">
        <v>110</v>
      </c>
      <c r="C94" s="121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1"/>
      <c r="R94" s="130"/>
    </row>
    <row r="95" spans="1:20" ht="18" customHeight="1" x14ac:dyDescent="0.3">
      <c r="A95" s="468"/>
      <c r="B95" s="133" t="s">
        <v>111</v>
      </c>
      <c r="C95" s="134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6"/>
      <c r="R95" s="135"/>
    </row>
    <row r="96" spans="1:20" ht="18" customHeight="1" x14ac:dyDescent="0.3">
      <c r="A96" s="469" t="s">
        <v>114</v>
      </c>
      <c r="B96" s="137" t="s">
        <v>300</v>
      </c>
      <c r="C96" s="138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</row>
    <row r="97" spans="1:19" ht="18" customHeight="1" x14ac:dyDescent="0.3">
      <c r="A97" s="467"/>
      <c r="B97" s="140" t="s">
        <v>301</v>
      </c>
      <c r="C97" s="141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</row>
    <row r="98" spans="1:19" ht="18" customHeight="1" x14ac:dyDescent="0.3">
      <c r="A98" s="468"/>
      <c r="B98" s="115" t="s">
        <v>302</v>
      </c>
      <c r="C98" s="10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</row>
    <row r="99" spans="1:19" ht="24" x14ac:dyDescent="0.15">
      <c r="H99" s="93" ph="1"/>
      <c r="I99" s="93" ph="1"/>
    </row>
    <row r="100" spans="1:19" ht="16.5" x14ac:dyDescent="0.3">
      <c r="D100"/>
      <c r="E100"/>
      <c r="F100"/>
    </row>
    <row r="101" spans="1:19" ht="16.5" x14ac:dyDescent="0.3">
      <c r="C101" s="147"/>
      <c r="D101" s="147" t="s">
        <v>118</v>
      </c>
      <c r="E101" s="147" t="s">
        <v>119</v>
      </c>
      <c r="F101" s="147" t="s">
        <v>120</v>
      </c>
      <c r="G101" s="147" t="s">
        <v>121</v>
      </c>
      <c r="H101" s="147" t="s">
        <v>122</v>
      </c>
      <c r="I101" s="147" t="s">
        <v>123</v>
      </c>
      <c r="J101" s="147" t="s">
        <v>124</v>
      </c>
      <c r="K101" s="147" t="s">
        <v>125</v>
      </c>
      <c r="L101" s="147" t="s">
        <v>126</v>
      </c>
      <c r="M101" s="147" t="s">
        <v>127</v>
      </c>
      <c r="N101" s="147" t="s">
        <v>116</v>
      </c>
      <c r="O101" s="147" t="s">
        <v>128</v>
      </c>
      <c r="P101" s="148" t="s">
        <v>129</v>
      </c>
      <c r="Q101" s="148"/>
    </row>
    <row r="102" spans="1:19" ht="16.5" x14ac:dyDescent="0.3">
      <c r="C102" s="147" t="s">
        <v>130</v>
      </c>
      <c r="D102" s="8">
        <f t="shared" ref="D102:I102" si="2">D72</f>
        <v>538920</v>
      </c>
      <c r="E102" s="8">
        <f t="shared" si="2"/>
        <v>1134700</v>
      </c>
      <c r="F102" s="149">
        <f t="shared" si="2"/>
        <v>1759524</v>
      </c>
      <c r="G102" s="149">
        <f t="shared" si="2"/>
        <v>2527874</v>
      </c>
      <c r="H102" s="149">
        <f t="shared" si="2"/>
        <v>3186780</v>
      </c>
      <c r="I102" s="149">
        <f t="shared" si="2"/>
        <v>3597374</v>
      </c>
      <c r="J102" s="149">
        <f t="shared" ref="J102:O102" si="3">K72</f>
        <v>4182019</v>
      </c>
      <c r="K102" s="149">
        <f t="shared" si="3"/>
        <v>5062860</v>
      </c>
      <c r="L102" s="149">
        <f t="shared" si="3"/>
        <v>5542042</v>
      </c>
      <c r="M102" s="149">
        <f t="shared" si="3"/>
        <v>6305143</v>
      </c>
      <c r="N102" s="149">
        <f t="shared" si="3"/>
        <v>6914979</v>
      </c>
      <c r="O102" s="149">
        <f t="shared" si="3"/>
        <v>7770334</v>
      </c>
      <c r="P102" s="149">
        <f>R72</f>
        <v>48522549</v>
      </c>
      <c r="Q102" s="150">
        <f>SUM(D102:O102)</f>
        <v>48522549</v>
      </c>
      <c r="S102" s="95" t="b">
        <f>P102=Q102</f>
        <v>1</v>
      </c>
    </row>
    <row r="103" spans="1:19" ht="16.5" x14ac:dyDescent="0.3">
      <c r="C103" s="147" t="s">
        <v>131</v>
      </c>
      <c r="D103" s="6">
        <f t="shared" ref="D103:P103" si="4">ROUND(D102/$T$2,0)</f>
        <v>12720</v>
      </c>
      <c r="E103" s="6">
        <f t="shared" si="4"/>
        <v>26781</v>
      </c>
      <c r="F103" s="151">
        <f t="shared" si="4"/>
        <v>41529</v>
      </c>
      <c r="G103" s="151">
        <f t="shared" si="4"/>
        <v>59663</v>
      </c>
      <c r="H103" s="151">
        <f t="shared" si="4"/>
        <v>75215</v>
      </c>
      <c r="I103" s="150">
        <f t="shared" si="4"/>
        <v>84906</v>
      </c>
      <c r="J103" s="151">
        <f t="shared" si="4"/>
        <v>98705</v>
      </c>
      <c r="K103" s="151">
        <f t="shared" si="4"/>
        <v>119494</v>
      </c>
      <c r="L103" s="151">
        <f t="shared" si="4"/>
        <v>130804</v>
      </c>
      <c r="M103" s="151">
        <f t="shared" si="4"/>
        <v>148815</v>
      </c>
      <c r="N103" s="151">
        <f t="shared" si="4"/>
        <v>163208</v>
      </c>
      <c r="O103" s="151">
        <f t="shared" si="4"/>
        <v>183397</v>
      </c>
      <c r="P103" s="150">
        <f t="shared" si="4"/>
        <v>1145237</v>
      </c>
      <c r="Q103" s="150">
        <f>ROUND(AVERAGE(D103:O103),0)</f>
        <v>95436</v>
      </c>
    </row>
    <row r="104" spans="1:19" ht="16.5" x14ac:dyDescent="0.3">
      <c r="C104" s="147" t="s">
        <v>158</v>
      </c>
      <c r="D104" s="195">
        <f>D103</f>
        <v>12720</v>
      </c>
      <c r="E104" s="195">
        <f t="shared" ref="E104:O105" si="5">D104+E103</f>
        <v>39501</v>
      </c>
      <c r="F104" s="196">
        <f t="shared" si="5"/>
        <v>81030</v>
      </c>
      <c r="G104" s="196">
        <f t="shared" si="5"/>
        <v>140693</v>
      </c>
      <c r="H104" s="196">
        <f t="shared" si="5"/>
        <v>215908</v>
      </c>
      <c r="I104" s="197">
        <f t="shared" si="5"/>
        <v>300814</v>
      </c>
      <c r="J104" s="196">
        <f t="shared" si="5"/>
        <v>399519</v>
      </c>
      <c r="K104" s="196">
        <f t="shared" si="5"/>
        <v>519013</v>
      </c>
      <c r="L104" s="196">
        <f t="shared" si="5"/>
        <v>649817</v>
      </c>
      <c r="M104" s="196">
        <f t="shared" si="5"/>
        <v>798632</v>
      </c>
      <c r="N104" s="196">
        <f t="shared" si="5"/>
        <v>961840</v>
      </c>
      <c r="O104" s="196">
        <f t="shared" si="5"/>
        <v>1145237</v>
      </c>
      <c r="P104" s="322">
        <f>O104</f>
        <v>1145237</v>
      </c>
      <c r="Q104" s="323" t="s">
        <v>160</v>
      </c>
      <c r="S104" s="95" t="b">
        <f>P104=S72</f>
        <v>1</v>
      </c>
    </row>
    <row r="105" spans="1:19" ht="16.5" x14ac:dyDescent="0.3">
      <c r="C105" s="147" t="s">
        <v>159</v>
      </c>
      <c r="D105" s="195">
        <f>D104</f>
        <v>12720</v>
      </c>
      <c r="E105" s="195">
        <f t="shared" si="5"/>
        <v>52221</v>
      </c>
      <c r="F105" s="196">
        <f t="shared" si="5"/>
        <v>133251</v>
      </c>
      <c r="G105" s="196">
        <f t="shared" si="5"/>
        <v>273944</v>
      </c>
      <c r="H105" s="196">
        <f t="shared" si="5"/>
        <v>489852</v>
      </c>
      <c r="I105" s="197">
        <f t="shared" si="5"/>
        <v>790666</v>
      </c>
      <c r="J105" s="196">
        <f t="shared" si="5"/>
        <v>1190185</v>
      </c>
      <c r="K105" s="196">
        <f t="shared" si="5"/>
        <v>1709198</v>
      </c>
      <c r="L105" s="196">
        <f t="shared" si="5"/>
        <v>2359015</v>
      </c>
      <c r="M105" s="196">
        <f t="shared" si="5"/>
        <v>3157647</v>
      </c>
      <c r="N105" s="196">
        <f t="shared" si="5"/>
        <v>4119487</v>
      </c>
      <c r="O105" s="196">
        <f t="shared" si="5"/>
        <v>5264724</v>
      </c>
      <c r="P105" s="322">
        <f>O105</f>
        <v>5264724</v>
      </c>
      <c r="Q105" s="323" t="s">
        <v>161</v>
      </c>
    </row>
    <row r="106" spans="1:19" ht="16.5" x14ac:dyDescent="0.3">
      <c r="C106" s="271"/>
      <c r="D106"/>
      <c r="E106"/>
      <c r="F106"/>
    </row>
    <row r="107" spans="1:19" ht="17.25" thickBot="1" x14ac:dyDescent="0.35">
      <c r="C107" s="307" t="s">
        <v>245</v>
      </c>
      <c r="D107" s="307" t="s">
        <v>118</v>
      </c>
      <c r="E107" s="307" t="s">
        <v>119</v>
      </c>
      <c r="F107" s="307" t="s">
        <v>120</v>
      </c>
      <c r="G107" s="307" t="s">
        <v>121</v>
      </c>
      <c r="H107" s="307" t="s">
        <v>122</v>
      </c>
      <c r="I107" s="307" t="s">
        <v>123</v>
      </c>
      <c r="J107" s="307" t="s">
        <v>124</v>
      </c>
      <c r="K107" s="307" t="s">
        <v>125</v>
      </c>
      <c r="L107" s="307" t="s">
        <v>126</v>
      </c>
      <c r="M107" s="307" t="s">
        <v>127</v>
      </c>
      <c r="N107" s="307" t="s">
        <v>116</v>
      </c>
      <c r="O107" s="307" t="s">
        <v>128</v>
      </c>
      <c r="P107" s="308" t="s">
        <v>129</v>
      </c>
    </row>
    <row r="108" spans="1:19" ht="17.25" thickBot="1" x14ac:dyDescent="0.35">
      <c r="C108" s="335" t="s">
        <v>248</v>
      </c>
      <c r="D108" s="336">
        <f>D109</f>
        <v>538920</v>
      </c>
      <c r="E108" s="336">
        <f>E109-D109</f>
        <v>595780</v>
      </c>
      <c r="F108" s="336">
        <f t="shared" ref="F108:O108" si="6">F109-E109</f>
        <v>624824</v>
      </c>
      <c r="G108" s="336">
        <f t="shared" si="6"/>
        <v>768350</v>
      </c>
      <c r="H108" s="336">
        <f t="shared" si="6"/>
        <v>658906</v>
      </c>
      <c r="I108" s="336">
        <f t="shared" si="6"/>
        <v>410594</v>
      </c>
      <c r="J108" s="336">
        <f t="shared" si="6"/>
        <v>584645</v>
      </c>
      <c r="K108" s="336">
        <f t="shared" si="6"/>
        <v>880841</v>
      </c>
      <c r="L108" s="336">
        <f t="shared" si="6"/>
        <v>479182</v>
      </c>
      <c r="M108" s="336">
        <f t="shared" si="6"/>
        <v>763101</v>
      </c>
      <c r="N108" s="336">
        <f t="shared" si="6"/>
        <v>609836</v>
      </c>
      <c r="O108" s="336">
        <f t="shared" si="6"/>
        <v>855355</v>
      </c>
      <c r="P108" s="337">
        <f>SUM(D108:O108)</f>
        <v>7770334</v>
      </c>
    </row>
    <row r="109" spans="1:19" ht="16.5" x14ac:dyDescent="0.3">
      <c r="C109" s="309" t="s">
        <v>246</v>
      </c>
      <c r="D109" s="310">
        <f t="shared" ref="D109:I109" si="7">D72</f>
        <v>538920</v>
      </c>
      <c r="E109" s="310">
        <f t="shared" si="7"/>
        <v>1134700</v>
      </c>
      <c r="F109" s="310">
        <f t="shared" si="7"/>
        <v>1759524</v>
      </c>
      <c r="G109" s="311">
        <f t="shared" si="7"/>
        <v>2527874</v>
      </c>
      <c r="H109" s="311">
        <f t="shared" si="7"/>
        <v>3186780</v>
      </c>
      <c r="I109" s="311">
        <f t="shared" si="7"/>
        <v>3597374</v>
      </c>
      <c r="J109" s="311">
        <f t="shared" ref="J109:O109" si="8">K72</f>
        <v>4182019</v>
      </c>
      <c r="K109" s="311">
        <f t="shared" si="8"/>
        <v>5062860</v>
      </c>
      <c r="L109" s="311">
        <f t="shared" si="8"/>
        <v>5542042</v>
      </c>
      <c r="M109" s="311">
        <f t="shared" si="8"/>
        <v>6305143</v>
      </c>
      <c r="N109" s="311">
        <f t="shared" si="8"/>
        <v>6914979</v>
      </c>
      <c r="O109" s="311">
        <f t="shared" si="8"/>
        <v>7770334</v>
      </c>
      <c r="P109" s="338">
        <f>SUM(D109:O109)</f>
        <v>48522549</v>
      </c>
    </row>
    <row r="110" spans="1:19" ht="16.5" x14ac:dyDescent="0.3">
      <c r="C110" s="265" t="s">
        <v>247</v>
      </c>
      <c r="D110" s="263">
        <f>D109</f>
        <v>538920</v>
      </c>
      <c r="E110" s="263">
        <f>D110+E109</f>
        <v>1673620</v>
      </c>
      <c r="F110" s="263">
        <f t="shared" ref="F110:O110" si="9">E110+F109</f>
        <v>3433144</v>
      </c>
      <c r="G110" s="266">
        <f t="shared" si="9"/>
        <v>5961018</v>
      </c>
      <c r="H110" s="266">
        <f t="shared" si="9"/>
        <v>9147798</v>
      </c>
      <c r="I110" s="266">
        <f t="shared" si="9"/>
        <v>12745172</v>
      </c>
      <c r="J110" s="264">
        <f t="shared" si="9"/>
        <v>16927191</v>
      </c>
      <c r="K110" s="264">
        <f t="shared" si="9"/>
        <v>21990051</v>
      </c>
      <c r="L110" s="266">
        <f t="shared" si="9"/>
        <v>27532093</v>
      </c>
      <c r="M110" s="266">
        <f t="shared" si="9"/>
        <v>33837236</v>
      </c>
      <c r="N110" s="266">
        <f t="shared" si="9"/>
        <v>40752215</v>
      </c>
      <c r="O110" s="266">
        <f t="shared" si="9"/>
        <v>48522549</v>
      </c>
      <c r="P110" s="269" t="b">
        <f>P109=R72</f>
        <v>1</v>
      </c>
      <c r="Q110" s="93"/>
      <c r="S110" s="95"/>
    </row>
    <row r="111" spans="1:19" ht="16.5" x14ac:dyDescent="0.3">
      <c r="D111" s="233"/>
      <c r="E111" s="233"/>
      <c r="F111" s="233"/>
      <c r="G111" s="132"/>
      <c r="H111" s="132"/>
      <c r="I111" s="132"/>
      <c r="J111" s="234"/>
      <c r="K111" s="132"/>
      <c r="L111" s="132"/>
      <c r="M111" s="132"/>
      <c r="N111" s="132"/>
      <c r="O111" s="132"/>
      <c r="P111" s="132"/>
    </row>
    <row r="112" spans="1:19" ht="16.5" x14ac:dyDescent="0.3">
      <c r="D112" s="233">
        <f>D108</f>
        <v>538920</v>
      </c>
      <c r="E112" s="233">
        <f>D112+E108</f>
        <v>1134700</v>
      </c>
      <c r="F112" s="233">
        <f>E112+F108</f>
        <v>1759524</v>
      </c>
      <c r="G112" s="93">
        <f t="shared" ref="G112:O112" si="10">F112+G108</f>
        <v>2527874</v>
      </c>
      <c r="H112" s="93">
        <f t="shared" si="10"/>
        <v>3186780</v>
      </c>
      <c r="I112" s="93">
        <f t="shared" si="10"/>
        <v>3597374</v>
      </c>
      <c r="J112" s="95">
        <f t="shared" si="10"/>
        <v>4182019</v>
      </c>
      <c r="K112" s="93">
        <f t="shared" si="10"/>
        <v>5062860</v>
      </c>
      <c r="L112" s="93">
        <f t="shared" si="10"/>
        <v>5542042</v>
      </c>
      <c r="M112" s="93">
        <f t="shared" si="10"/>
        <v>6305143</v>
      </c>
      <c r="N112" s="93">
        <f t="shared" si="10"/>
        <v>6914979</v>
      </c>
      <c r="O112" s="93">
        <f t="shared" si="10"/>
        <v>7770334</v>
      </c>
    </row>
    <row r="113" spans="3:16" x14ac:dyDescent="0.3">
      <c r="D113" s="93" t="b">
        <f t="shared" ref="D113:O113" si="11">D109=D112</f>
        <v>1</v>
      </c>
      <c r="E113" s="93" t="b">
        <f t="shared" si="11"/>
        <v>1</v>
      </c>
      <c r="F113" s="93" t="b">
        <f t="shared" si="11"/>
        <v>1</v>
      </c>
      <c r="G113" s="93" t="b">
        <f t="shared" si="11"/>
        <v>1</v>
      </c>
      <c r="H113" s="93" t="b">
        <f t="shared" si="11"/>
        <v>1</v>
      </c>
      <c r="I113" s="93" t="b">
        <f t="shared" si="11"/>
        <v>1</v>
      </c>
      <c r="J113" s="95" t="b">
        <f t="shared" si="11"/>
        <v>1</v>
      </c>
      <c r="K113" s="93" t="b">
        <f t="shared" si="11"/>
        <v>1</v>
      </c>
      <c r="L113" s="93" t="b">
        <f t="shared" si="11"/>
        <v>1</v>
      </c>
      <c r="M113" s="93" t="b">
        <f t="shared" si="11"/>
        <v>1</v>
      </c>
      <c r="N113" s="93" t="b">
        <f t="shared" si="11"/>
        <v>1</v>
      </c>
      <c r="O113" s="93" t="b">
        <f t="shared" si="11"/>
        <v>1</v>
      </c>
    </row>
    <row r="115" spans="3:16" ht="17.25" thickBot="1" x14ac:dyDescent="0.35">
      <c r="C115" s="307" t="s">
        <v>249</v>
      </c>
      <c r="D115" s="307" t="s">
        <v>118</v>
      </c>
      <c r="E115" s="307" t="s">
        <v>119</v>
      </c>
      <c r="F115" s="307" t="s">
        <v>120</v>
      </c>
      <c r="G115" s="307" t="s">
        <v>121</v>
      </c>
      <c r="H115" s="307" t="s">
        <v>122</v>
      </c>
      <c r="I115" s="307" t="s">
        <v>123</v>
      </c>
      <c r="J115" s="307" t="s">
        <v>124</v>
      </c>
      <c r="K115" s="307" t="s">
        <v>125</v>
      </c>
      <c r="L115" s="307" t="s">
        <v>126</v>
      </c>
      <c r="M115" s="307" t="s">
        <v>127</v>
      </c>
      <c r="N115" s="307" t="s">
        <v>116</v>
      </c>
      <c r="O115" s="307" t="s">
        <v>128</v>
      </c>
      <c r="P115" s="308" t="s">
        <v>129</v>
      </c>
    </row>
    <row r="116" spans="3:16" ht="17.25" thickBot="1" x14ac:dyDescent="0.35">
      <c r="C116" s="335" t="s">
        <v>248</v>
      </c>
      <c r="D116" s="336">
        <f>D117</f>
        <v>12720</v>
      </c>
      <c r="E116" s="336">
        <f t="shared" ref="E116:O116" si="12">E117-D117</f>
        <v>14061</v>
      </c>
      <c r="F116" s="336">
        <f t="shared" si="12"/>
        <v>14748</v>
      </c>
      <c r="G116" s="336">
        <f t="shared" si="12"/>
        <v>18134</v>
      </c>
      <c r="H116" s="336">
        <f t="shared" si="12"/>
        <v>15552</v>
      </c>
      <c r="I116" s="336">
        <f t="shared" si="12"/>
        <v>9691</v>
      </c>
      <c r="J116" s="336">
        <f t="shared" si="12"/>
        <v>13799</v>
      </c>
      <c r="K116" s="336">
        <f t="shared" si="12"/>
        <v>20789</v>
      </c>
      <c r="L116" s="336">
        <f t="shared" si="12"/>
        <v>11310</v>
      </c>
      <c r="M116" s="336">
        <f t="shared" si="12"/>
        <v>18011</v>
      </c>
      <c r="N116" s="336">
        <f t="shared" si="12"/>
        <v>14393</v>
      </c>
      <c r="O116" s="336">
        <f t="shared" si="12"/>
        <v>20189</v>
      </c>
      <c r="P116" s="337">
        <f>SUM(D116:O116)</f>
        <v>183397</v>
      </c>
    </row>
    <row r="117" spans="3:16" ht="16.5" x14ac:dyDescent="0.3">
      <c r="C117" s="309" t="s">
        <v>306</v>
      </c>
      <c r="D117" s="310">
        <f t="shared" ref="D117:O117" si="13">ROUND(D109/$T$2,0)</f>
        <v>12720</v>
      </c>
      <c r="E117" s="310">
        <f t="shared" si="13"/>
        <v>26781</v>
      </c>
      <c r="F117" s="310">
        <f t="shared" si="13"/>
        <v>41529</v>
      </c>
      <c r="G117" s="311">
        <f t="shared" si="13"/>
        <v>59663</v>
      </c>
      <c r="H117" s="311">
        <f t="shared" si="13"/>
        <v>75215</v>
      </c>
      <c r="I117" s="311">
        <f t="shared" si="13"/>
        <v>84906</v>
      </c>
      <c r="J117" s="311">
        <f t="shared" si="13"/>
        <v>98705</v>
      </c>
      <c r="K117" s="311">
        <f t="shared" si="13"/>
        <v>119494</v>
      </c>
      <c r="L117" s="311">
        <f t="shared" si="13"/>
        <v>130804</v>
      </c>
      <c r="M117" s="311">
        <f t="shared" si="13"/>
        <v>148815</v>
      </c>
      <c r="N117" s="311">
        <f t="shared" si="13"/>
        <v>163208</v>
      </c>
      <c r="O117" s="311">
        <f t="shared" si="13"/>
        <v>183397</v>
      </c>
      <c r="P117" s="338">
        <f>SUM(D117:O117)</f>
        <v>1145237</v>
      </c>
    </row>
    <row r="118" spans="3:16" ht="16.5" x14ac:dyDescent="0.3">
      <c r="C118" s="148" t="s">
        <v>247</v>
      </c>
      <c r="D118" s="268">
        <f>D117</f>
        <v>12720</v>
      </c>
      <c r="E118" s="268">
        <f t="shared" ref="E118:O118" si="14">D118+E117</f>
        <v>39501</v>
      </c>
      <c r="F118" s="268">
        <f t="shared" si="14"/>
        <v>81030</v>
      </c>
      <c r="G118" s="264">
        <f t="shared" si="14"/>
        <v>140693</v>
      </c>
      <c r="H118" s="264">
        <f t="shared" si="14"/>
        <v>215908</v>
      </c>
      <c r="I118" s="264">
        <f t="shared" si="14"/>
        <v>300814</v>
      </c>
      <c r="J118" s="264">
        <f t="shared" si="14"/>
        <v>399519</v>
      </c>
      <c r="K118" s="264">
        <f t="shared" si="14"/>
        <v>519013</v>
      </c>
      <c r="L118" s="264">
        <f t="shared" si="14"/>
        <v>649817</v>
      </c>
      <c r="M118" s="264">
        <f t="shared" si="14"/>
        <v>798632</v>
      </c>
      <c r="N118" s="264">
        <f t="shared" si="14"/>
        <v>961840</v>
      </c>
      <c r="O118" s="264">
        <f t="shared" si="14"/>
        <v>1145237</v>
      </c>
      <c r="P118" s="270" t="b">
        <f>P117=ROUND(R72/T2,0)</f>
        <v>1</v>
      </c>
    </row>
    <row r="119" spans="3:16" ht="16.5" x14ac:dyDescent="0.3">
      <c r="D119" s="233"/>
      <c r="E119" s="233"/>
      <c r="F119" s="233"/>
      <c r="G119" s="132"/>
      <c r="H119" s="132"/>
      <c r="I119" s="132"/>
      <c r="J119" s="234"/>
      <c r="K119" s="132"/>
      <c r="L119" s="132"/>
      <c r="M119" s="132"/>
      <c r="N119" s="132"/>
      <c r="O119" s="132"/>
      <c r="P119" s="132"/>
    </row>
    <row r="120" spans="3:16" x14ac:dyDescent="0.3">
      <c r="C120" s="271" t="s">
        <v>307</v>
      </c>
    </row>
    <row r="121" spans="3:16" ht="16.5" x14ac:dyDescent="0.3">
      <c r="C121" s="147" t="s">
        <v>303</v>
      </c>
      <c r="D121" s="147" t="s">
        <v>118</v>
      </c>
      <c r="E121" s="147" t="s">
        <v>119</v>
      </c>
      <c r="F121" s="147" t="s">
        <v>120</v>
      </c>
      <c r="G121" s="147" t="s">
        <v>121</v>
      </c>
      <c r="H121" s="147" t="s">
        <v>122</v>
      </c>
      <c r="I121" s="147" t="s">
        <v>123</v>
      </c>
      <c r="J121" s="147" t="s">
        <v>124</v>
      </c>
      <c r="K121" s="147" t="s">
        <v>125</v>
      </c>
      <c r="L121" s="147" t="s">
        <v>126</v>
      </c>
      <c r="M121" s="147" t="s">
        <v>127</v>
      </c>
      <c r="N121" s="147" t="s">
        <v>116</v>
      </c>
      <c r="O121" s="147" t="s">
        <v>128</v>
      </c>
      <c r="P121" s="148" t="s">
        <v>129</v>
      </c>
    </row>
    <row r="122" spans="3:16" ht="16.5" x14ac:dyDescent="0.3">
      <c r="C122" s="147" t="s">
        <v>349</v>
      </c>
      <c r="D122" s="328">
        <v>817003</v>
      </c>
      <c r="E122" s="328">
        <v>1639294</v>
      </c>
      <c r="F122" s="329">
        <v>2633081</v>
      </c>
      <c r="G122" s="329">
        <v>3347554</v>
      </c>
      <c r="H122" s="329">
        <v>4042109</v>
      </c>
      <c r="I122" s="329">
        <v>4460675</v>
      </c>
      <c r="J122" s="329">
        <v>4997979</v>
      </c>
      <c r="K122" s="329">
        <v>5741752</v>
      </c>
      <c r="L122" s="329">
        <v>5975772</v>
      </c>
      <c r="M122" s="329">
        <v>6716517</v>
      </c>
      <c r="N122" s="329">
        <v>7366418</v>
      </c>
      <c r="O122" s="329">
        <v>8278318</v>
      </c>
      <c r="P122" s="329">
        <v>56016472</v>
      </c>
    </row>
    <row r="123" spans="3:16" ht="16.5" x14ac:dyDescent="0.3">
      <c r="C123" s="332" t="s">
        <v>350</v>
      </c>
      <c r="D123" s="333">
        <f>D102</f>
        <v>538920</v>
      </c>
      <c r="E123" s="333">
        <f t="shared" ref="E123:O123" si="15">E102</f>
        <v>1134700</v>
      </c>
      <c r="F123" s="333">
        <f t="shared" si="15"/>
        <v>1759524</v>
      </c>
      <c r="G123" s="333">
        <f t="shared" si="15"/>
        <v>2527874</v>
      </c>
      <c r="H123" s="333">
        <f t="shared" si="15"/>
        <v>3186780</v>
      </c>
      <c r="I123" s="333">
        <f t="shared" si="15"/>
        <v>3597374</v>
      </c>
      <c r="J123" s="333">
        <f t="shared" si="15"/>
        <v>4182019</v>
      </c>
      <c r="K123" s="333">
        <f t="shared" si="15"/>
        <v>5062860</v>
      </c>
      <c r="L123" s="333">
        <f t="shared" si="15"/>
        <v>5542042</v>
      </c>
      <c r="M123" s="333">
        <f t="shared" si="15"/>
        <v>6305143</v>
      </c>
      <c r="N123" s="333">
        <f t="shared" si="15"/>
        <v>6914979</v>
      </c>
      <c r="O123" s="333">
        <f t="shared" si="15"/>
        <v>7770334</v>
      </c>
      <c r="P123" s="334">
        <f t="shared" ref="P123" si="16">SUM(D123:O123)</f>
        <v>48522549</v>
      </c>
    </row>
    <row r="124" spans="3:16" ht="16.5" x14ac:dyDescent="0.3">
      <c r="C124" s="147" t="s">
        <v>304</v>
      </c>
      <c r="D124" s="330">
        <f t="shared" ref="D124:P124" si="17">D123-D122</f>
        <v>-278083</v>
      </c>
      <c r="E124" s="330">
        <f t="shared" si="17"/>
        <v>-504594</v>
      </c>
      <c r="F124" s="313">
        <f t="shared" si="17"/>
        <v>-873557</v>
      </c>
      <c r="G124" s="313">
        <f t="shared" si="17"/>
        <v>-819680</v>
      </c>
      <c r="H124" s="313">
        <f t="shared" si="17"/>
        <v>-855329</v>
      </c>
      <c r="I124" s="313">
        <f t="shared" si="17"/>
        <v>-863301</v>
      </c>
      <c r="J124" s="313">
        <f t="shared" si="17"/>
        <v>-815960</v>
      </c>
      <c r="K124" s="313">
        <f t="shared" si="17"/>
        <v>-678892</v>
      </c>
      <c r="L124" s="313">
        <f t="shared" si="17"/>
        <v>-433730</v>
      </c>
      <c r="M124" s="313">
        <f t="shared" si="17"/>
        <v>-411374</v>
      </c>
      <c r="N124" s="313">
        <f t="shared" si="17"/>
        <v>-451439</v>
      </c>
      <c r="O124" s="313">
        <f t="shared" si="17"/>
        <v>-507984</v>
      </c>
      <c r="P124" s="331">
        <f t="shared" si="17"/>
        <v>-7493923</v>
      </c>
    </row>
    <row r="126" spans="3:16" ht="16.5" x14ac:dyDescent="0.3">
      <c r="C126" s="147" t="s">
        <v>305</v>
      </c>
      <c r="D126" s="147" t="s">
        <v>118</v>
      </c>
      <c r="E126" s="147" t="s">
        <v>119</v>
      </c>
      <c r="F126" s="147" t="s">
        <v>120</v>
      </c>
      <c r="G126" s="147" t="s">
        <v>121</v>
      </c>
      <c r="H126" s="147" t="s">
        <v>122</v>
      </c>
      <c r="I126" s="147" t="s">
        <v>123</v>
      </c>
      <c r="J126" s="147" t="s">
        <v>124</v>
      </c>
      <c r="K126" s="147" t="s">
        <v>125</v>
      </c>
      <c r="L126" s="147" t="s">
        <v>126</v>
      </c>
      <c r="M126" s="147" t="s">
        <v>127</v>
      </c>
      <c r="N126" s="147" t="s">
        <v>116</v>
      </c>
      <c r="O126" s="147" t="s">
        <v>128</v>
      </c>
      <c r="P126" s="148" t="s">
        <v>129</v>
      </c>
    </row>
    <row r="127" spans="3:16" ht="16.5" x14ac:dyDescent="0.3">
      <c r="C127" s="147" t="s">
        <v>349</v>
      </c>
      <c r="D127" s="328">
        <v>19156</v>
      </c>
      <c r="E127" s="328">
        <v>38436</v>
      </c>
      <c r="F127" s="329">
        <v>61737</v>
      </c>
      <c r="G127" s="329">
        <v>78489</v>
      </c>
      <c r="H127" s="329">
        <v>94774</v>
      </c>
      <c r="I127" s="329">
        <v>104588</v>
      </c>
      <c r="J127" s="329">
        <v>117186</v>
      </c>
      <c r="K127" s="329">
        <v>134625</v>
      </c>
      <c r="L127" s="329">
        <v>140112</v>
      </c>
      <c r="M127" s="329">
        <v>157480</v>
      </c>
      <c r="N127" s="329">
        <v>172718</v>
      </c>
      <c r="O127" s="329">
        <v>194099</v>
      </c>
      <c r="P127" s="329">
        <v>1313400</v>
      </c>
    </row>
    <row r="128" spans="3:16" ht="16.5" x14ac:dyDescent="0.3">
      <c r="C128" s="332" t="s">
        <v>350</v>
      </c>
      <c r="D128" s="333">
        <f>D103</f>
        <v>12720</v>
      </c>
      <c r="E128" s="333">
        <f t="shared" ref="E128:O128" si="18">E103</f>
        <v>26781</v>
      </c>
      <c r="F128" s="333">
        <f t="shared" si="18"/>
        <v>41529</v>
      </c>
      <c r="G128" s="333">
        <f t="shared" si="18"/>
        <v>59663</v>
      </c>
      <c r="H128" s="333">
        <f t="shared" si="18"/>
        <v>75215</v>
      </c>
      <c r="I128" s="333">
        <f t="shared" si="18"/>
        <v>84906</v>
      </c>
      <c r="J128" s="333">
        <f t="shared" si="18"/>
        <v>98705</v>
      </c>
      <c r="K128" s="333">
        <f t="shared" si="18"/>
        <v>119494</v>
      </c>
      <c r="L128" s="333">
        <f t="shared" si="18"/>
        <v>130804</v>
      </c>
      <c r="M128" s="333">
        <f t="shared" si="18"/>
        <v>148815</v>
      </c>
      <c r="N128" s="333">
        <f t="shared" si="18"/>
        <v>163208</v>
      </c>
      <c r="O128" s="333">
        <f t="shared" si="18"/>
        <v>183397</v>
      </c>
      <c r="P128" s="334">
        <f t="shared" ref="P128" si="19">SUM(D128:O128)</f>
        <v>1145237</v>
      </c>
    </row>
    <row r="129" spans="3:16" ht="16.5" x14ac:dyDescent="0.3">
      <c r="C129" s="147" t="s">
        <v>304</v>
      </c>
      <c r="D129" s="330">
        <f t="shared" ref="D129" si="20">D128-D127</f>
        <v>-6436</v>
      </c>
      <c r="E129" s="330">
        <f t="shared" ref="E129" si="21">E128-E127</f>
        <v>-11655</v>
      </c>
      <c r="F129" s="313">
        <f t="shared" ref="F129" si="22">F128-F127</f>
        <v>-20208</v>
      </c>
      <c r="G129" s="313">
        <f t="shared" ref="G129" si="23">G128-G127</f>
        <v>-18826</v>
      </c>
      <c r="H129" s="313">
        <f t="shared" ref="H129" si="24">H128-H127</f>
        <v>-19559</v>
      </c>
      <c r="I129" s="313">
        <f t="shared" ref="I129" si="25">I128-I127</f>
        <v>-19682</v>
      </c>
      <c r="J129" s="313">
        <f t="shared" ref="J129" si="26">J128-J127</f>
        <v>-18481</v>
      </c>
      <c r="K129" s="313">
        <f t="shared" ref="K129" si="27">K128-K127</f>
        <v>-15131</v>
      </c>
      <c r="L129" s="313">
        <f t="shared" ref="L129" si="28">L128-L127</f>
        <v>-9308</v>
      </c>
      <c r="M129" s="313">
        <f t="shared" ref="M129" si="29">M128-M127</f>
        <v>-8665</v>
      </c>
      <c r="N129" s="313">
        <f t="shared" ref="N129" si="30">N128-N127</f>
        <v>-9510</v>
      </c>
      <c r="O129" s="313">
        <f t="shared" ref="O129" si="31">O128-O127</f>
        <v>-10702</v>
      </c>
      <c r="P129" s="331">
        <f t="shared" ref="P129" si="32">P128-P127</f>
        <v>-168163</v>
      </c>
    </row>
    <row r="135" spans="3:16" ht="24" x14ac:dyDescent="0.15">
      <c r="H135" s="93" ph="1"/>
      <c r="I135" s="93" ph="1"/>
    </row>
    <row r="136" spans="3:16" ht="24" x14ac:dyDescent="0.15">
      <c r="H136" s="93" ph="1"/>
      <c r="I136" s="93" ph="1"/>
    </row>
    <row r="154" spans="8:9" ht="24" x14ac:dyDescent="0.15">
      <c r="H154" s="93" ph="1"/>
      <c r="I154" s="93" ph="1"/>
    </row>
    <row r="161" spans="8:9" ht="24" x14ac:dyDescent="0.15">
      <c r="H161" s="93" ph="1"/>
      <c r="I161" s="93" ph="1"/>
    </row>
    <row r="246" spans="8:9" ht="24" x14ac:dyDescent="0.15">
      <c r="H246" s="93" ph="1"/>
      <c r="I246" s="93" ph="1"/>
    </row>
    <row r="247" spans="8:9" ht="24" x14ac:dyDescent="0.15">
      <c r="H247" s="93" ph="1"/>
      <c r="I247" s="93" ph="1"/>
    </row>
    <row r="265" spans="8:9" ht="24" x14ac:dyDescent="0.15">
      <c r="H265" s="93" ph="1"/>
      <c r="I265" s="93" ph="1"/>
    </row>
    <row r="315" spans="8:9" ht="24" x14ac:dyDescent="0.15">
      <c r="H315" s="93" ph="1"/>
      <c r="I315" s="93" ph="1"/>
    </row>
    <row r="316" spans="8:9" ht="24" x14ac:dyDescent="0.15">
      <c r="H316" s="93" ph="1"/>
      <c r="I316" s="93" ph="1"/>
    </row>
    <row r="334" spans="8:9" ht="24" x14ac:dyDescent="0.15">
      <c r="H334" s="93" ph="1"/>
      <c r="I334" s="93" ph="1"/>
    </row>
    <row r="341" spans="8:9" ht="24" x14ac:dyDescent="0.15">
      <c r="H341" s="93" ph="1"/>
      <c r="I341" s="93" ph="1"/>
    </row>
    <row r="347" spans="8:9" ht="24" x14ac:dyDescent="0.15">
      <c r="H347" s="93" ph="1"/>
      <c r="I347" s="93" ph="1"/>
    </row>
    <row r="350" spans="8:9" ht="24" x14ac:dyDescent="0.15">
      <c r="H350" s="93" ph="1"/>
      <c r="I350" s="93" ph="1"/>
    </row>
    <row r="356" spans="8:9" ht="24" x14ac:dyDescent="0.15">
      <c r="H356" s="93" ph="1"/>
      <c r="I356" s="93" ph="1"/>
    </row>
    <row r="358" spans="8:9" ht="24" x14ac:dyDescent="0.15">
      <c r="H358" s="93" ph="1"/>
      <c r="I358" s="93" ph="1"/>
    </row>
  </sheetData>
  <mergeCells count="4">
    <mergeCell ref="A72:A77"/>
    <mergeCell ref="A78:A83"/>
    <mergeCell ref="A84:A95"/>
    <mergeCell ref="A96:A98"/>
  </mergeCells>
  <phoneticPr fontId="1" type="noConversion"/>
  <conditionalFormatting sqref="D102:Q105">
    <cfRule type="expression" dxfId="20" priority="10">
      <formula>IF(D102-TRUNC(D102)&lt;&gt;0,TRUE,FALSE)</formula>
    </cfRule>
  </conditionalFormatting>
  <conditionalFormatting sqref="S101:XFD101 A101:Q105 A1:XFD100 S103:XFD103 T102:XFD102 S105:XFD105 T104:XFD104 A130:XFD1048576 A120:B129 Q120:XFD129 A106:XFD119">
    <cfRule type="containsText" dxfId="19" priority="9" operator="containsText" text="false">
      <formula>NOT(ISERROR(SEARCH("false",A1)))</formula>
    </cfRule>
  </conditionalFormatting>
  <conditionalFormatting sqref="C121:P124">
    <cfRule type="containsText" dxfId="18" priority="7" operator="containsText" text="false">
      <formula>NOT(ISERROR(SEARCH("false",C121)))</formula>
    </cfRule>
  </conditionalFormatting>
  <conditionalFormatting sqref="D122:P124">
    <cfRule type="expression" dxfId="17" priority="8">
      <formula>IF(D122-TRUNC(D122)&lt;&gt;0,TRUE,FALSE)</formula>
    </cfRule>
  </conditionalFormatting>
  <conditionalFormatting sqref="C126:P126 C127:C129">
    <cfRule type="containsText" dxfId="16" priority="5" operator="containsText" text="false">
      <formula>NOT(ISERROR(SEARCH("false",C126)))</formula>
    </cfRule>
  </conditionalFormatting>
  <conditionalFormatting sqref="D129:P129">
    <cfRule type="expression" dxfId="15" priority="2">
      <formula>IF(D129-TRUNC(D129)&lt;&gt;0,TRUE,FALSE)</formula>
    </cfRule>
  </conditionalFormatting>
  <conditionalFormatting sqref="D127:P128">
    <cfRule type="containsText" dxfId="14" priority="3" operator="containsText" text="false">
      <formula>NOT(ISERROR(SEARCH("false",D127)))</formula>
    </cfRule>
  </conditionalFormatting>
  <conditionalFormatting sqref="D127:P128">
    <cfRule type="expression" dxfId="13" priority="4">
      <formula>IF(D127-TRUNC(D127)&lt;&gt;0,TRUE,FALSE)</formula>
    </cfRule>
  </conditionalFormatting>
  <conditionalFormatting sqref="D129:P129">
    <cfRule type="containsText" dxfId="12" priority="1" operator="containsText" text="false">
      <formula>NOT(ISERROR(SEARCH("false",D129)))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3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U59"/>
  <sheetViews>
    <sheetView zoomScale="85" zoomScaleNormal="85" zoomScaleSheetLayoutView="100" workbookViewId="0">
      <pane xSplit="4" ySplit="4" topLeftCell="E32" activePane="bottomRight" state="frozen"/>
      <selection pane="topRight" activeCell="E1" sqref="E1"/>
      <selection pane="bottomLeft" activeCell="A5" sqref="A5"/>
      <selection pane="bottomRight" activeCell="Q46" sqref="Q46"/>
    </sheetView>
  </sheetViews>
  <sheetFormatPr defaultRowHeight="13.5" x14ac:dyDescent="0.3"/>
  <cols>
    <col min="1" max="1" width="4.5" style="94" customWidth="1"/>
    <col min="2" max="2" width="22.25" style="93" customWidth="1"/>
    <col min="3" max="10" width="12.75" style="93" customWidth="1"/>
    <col min="11" max="11" width="12.75" style="95" customWidth="1"/>
    <col min="12" max="17" width="12.75" style="93" customWidth="1"/>
    <col min="18" max="19" width="12.75" style="95" customWidth="1"/>
    <col min="20" max="23" width="14.5" style="93" customWidth="1"/>
    <col min="24" max="16384" width="9" style="93"/>
  </cols>
  <sheetData>
    <row r="1" spans="1:21" ht="25.5" customHeight="1" thickBot="1" x14ac:dyDescent="0.35">
      <c r="A1" s="92" t="s">
        <v>362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</row>
    <row r="2" spans="1:21" ht="29.25" thickBot="1" x14ac:dyDescent="0.35">
      <c r="S2" s="96" t="s">
        <v>144</v>
      </c>
      <c r="T2" s="91" t="s">
        <v>348</v>
      </c>
      <c r="U2" s="90">
        <v>42.369</v>
      </c>
    </row>
    <row r="3" spans="1:21" ht="33.75" customHeight="1" x14ac:dyDescent="0.3">
      <c r="A3" s="163" t="s">
        <v>91</v>
      </c>
      <c r="B3" s="163" t="s">
        <v>132</v>
      </c>
      <c r="C3" s="163" t="s">
        <v>133</v>
      </c>
      <c r="D3" s="163" t="s">
        <v>143</v>
      </c>
      <c r="E3" s="163" t="s">
        <v>93</v>
      </c>
      <c r="F3" s="163" t="s">
        <v>94</v>
      </c>
      <c r="G3" s="163" t="s">
        <v>95</v>
      </c>
      <c r="H3" s="163" t="s">
        <v>96</v>
      </c>
      <c r="I3" s="163" t="s">
        <v>97</v>
      </c>
      <c r="J3" s="163" t="s">
        <v>98</v>
      </c>
      <c r="K3" s="163" t="s">
        <v>134</v>
      </c>
      <c r="L3" s="163" t="s">
        <v>100</v>
      </c>
      <c r="M3" s="163" t="s">
        <v>101</v>
      </c>
      <c r="N3" s="163" t="s">
        <v>102</v>
      </c>
      <c r="O3" s="163" t="s">
        <v>103</v>
      </c>
      <c r="P3" s="163" t="s">
        <v>135</v>
      </c>
      <c r="Q3" s="163" t="s">
        <v>105</v>
      </c>
      <c r="R3" s="163" t="s">
        <v>136</v>
      </c>
      <c r="S3" s="163" t="s">
        <v>137</v>
      </c>
    </row>
    <row r="4" spans="1:21" ht="19.5" customHeight="1" x14ac:dyDescent="0.3">
      <c r="A4" s="470" t="s">
        <v>142</v>
      </c>
      <c r="B4" s="47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</row>
    <row r="5" spans="1:21" ht="15" customHeight="1" x14ac:dyDescent="0.3">
      <c r="A5" s="106">
        <v>1</v>
      </c>
      <c r="B5" s="103" t="s">
        <v>351</v>
      </c>
      <c r="C5" s="104">
        <v>1</v>
      </c>
      <c r="D5" s="104">
        <v>1</v>
      </c>
      <c r="E5" s="100">
        <v>211710</v>
      </c>
      <c r="F5" s="100">
        <v>211710</v>
      </c>
      <c r="G5" s="100">
        <v>211710</v>
      </c>
      <c r="H5" s="100">
        <v>211710</v>
      </c>
      <c r="I5" s="100">
        <v>211710</v>
      </c>
      <c r="J5" s="100">
        <v>211710</v>
      </c>
      <c r="K5" s="97">
        <v>1270260</v>
      </c>
      <c r="L5" s="100">
        <v>211710</v>
      </c>
      <c r="M5" s="100">
        <v>211710</v>
      </c>
      <c r="N5" s="100">
        <v>211710</v>
      </c>
      <c r="O5" s="100">
        <v>211710</v>
      </c>
      <c r="P5" s="100">
        <v>211710</v>
      </c>
      <c r="Q5" s="100">
        <v>211710</v>
      </c>
      <c r="R5" s="97">
        <v>1270260</v>
      </c>
      <c r="S5" s="100">
        <v>2540520</v>
      </c>
    </row>
    <row r="6" spans="1:21" ht="15" customHeight="1" x14ac:dyDescent="0.3">
      <c r="A6" s="106">
        <v>2</v>
      </c>
      <c r="B6" s="103" t="s">
        <v>352</v>
      </c>
      <c r="C6" s="104">
        <v>1</v>
      </c>
      <c r="D6" s="104">
        <v>2</v>
      </c>
      <c r="E6" s="100"/>
      <c r="F6" s="100">
        <v>846840</v>
      </c>
      <c r="G6" s="100">
        <v>846840</v>
      </c>
      <c r="H6" s="100">
        <v>846840</v>
      </c>
      <c r="I6" s="100">
        <v>846840</v>
      </c>
      <c r="J6" s="100">
        <v>846840</v>
      </c>
      <c r="K6" s="97">
        <v>4234200</v>
      </c>
      <c r="L6" s="100">
        <v>846840</v>
      </c>
      <c r="M6" s="100">
        <v>846840</v>
      </c>
      <c r="N6" s="100">
        <v>846840</v>
      </c>
      <c r="O6" s="100">
        <v>846840</v>
      </c>
      <c r="P6" s="100">
        <v>846840</v>
      </c>
      <c r="Q6" s="100">
        <v>846840</v>
      </c>
      <c r="R6" s="97">
        <v>5081040</v>
      </c>
      <c r="S6" s="100">
        <v>9315240</v>
      </c>
    </row>
    <row r="7" spans="1:21" ht="15" customHeight="1" x14ac:dyDescent="0.3">
      <c r="A7" s="106">
        <v>3</v>
      </c>
      <c r="B7" s="103" t="s">
        <v>353</v>
      </c>
      <c r="C7" s="104">
        <v>1</v>
      </c>
      <c r="D7" s="104">
        <v>4</v>
      </c>
      <c r="E7" s="100"/>
      <c r="F7" s="100"/>
      <c r="G7" s="100"/>
      <c r="H7" s="100">
        <v>211710</v>
      </c>
      <c r="I7" s="100">
        <v>211710</v>
      </c>
      <c r="J7" s="100">
        <v>211710</v>
      </c>
      <c r="K7" s="97">
        <v>635130</v>
      </c>
      <c r="L7" s="100">
        <v>211710</v>
      </c>
      <c r="M7" s="100">
        <v>211710</v>
      </c>
      <c r="N7" s="100">
        <v>211710</v>
      </c>
      <c r="O7" s="100">
        <v>211710</v>
      </c>
      <c r="P7" s="100">
        <v>211710</v>
      </c>
      <c r="Q7" s="100">
        <v>211710</v>
      </c>
      <c r="R7" s="97">
        <v>1270260</v>
      </c>
      <c r="S7" s="100">
        <v>1905390</v>
      </c>
    </row>
    <row r="8" spans="1:21" ht="15" customHeight="1" x14ac:dyDescent="0.3">
      <c r="A8" s="106">
        <v>4</v>
      </c>
      <c r="B8" s="103" t="s">
        <v>354</v>
      </c>
      <c r="C8" s="104">
        <v>1</v>
      </c>
      <c r="D8" s="104">
        <v>5</v>
      </c>
      <c r="E8" s="100"/>
      <c r="F8" s="100"/>
      <c r="G8" s="100"/>
      <c r="H8" s="100"/>
      <c r="I8" s="100">
        <v>211710</v>
      </c>
      <c r="J8" s="100">
        <v>211710</v>
      </c>
      <c r="K8" s="97">
        <v>423420</v>
      </c>
      <c r="L8" s="100">
        <v>211710</v>
      </c>
      <c r="M8" s="100">
        <v>211710</v>
      </c>
      <c r="N8" s="100">
        <v>211710</v>
      </c>
      <c r="O8" s="100">
        <v>211710</v>
      </c>
      <c r="P8" s="100">
        <v>211710</v>
      </c>
      <c r="Q8" s="100">
        <v>211710</v>
      </c>
      <c r="R8" s="97">
        <v>1270260</v>
      </c>
      <c r="S8" s="100">
        <v>1693680</v>
      </c>
    </row>
    <row r="9" spans="1:21" ht="15" customHeight="1" x14ac:dyDescent="0.3">
      <c r="A9" s="106">
        <v>5</v>
      </c>
      <c r="B9" s="103" t="s">
        <v>355</v>
      </c>
      <c r="C9" s="104">
        <v>1</v>
      </c>
      <c r="D9" s="104">
        <v>6</v>
      </c>
      <c r="E9" s="100"/>
      <c r="F9" s="100"/>
      <c r="G9" s="100"/>
      <c r="H9" s="100"/>
      <c r="I9" s="100"/>
      <c r="J9" s="100">
        <v>211710</v>
      </c>
      <c r="K9" s="97">
        <v>211710</v>
      </c>
      <c r="L9" s="100">
        <v>211710</v>
      </c>
      <c r="M9" s="100">
        <v>211710</v>
      </c>
      <c r="N9" s="100">
        <v>211710</v>
      </c>
      <c r="O9" s="100">
        <v>211710</v>
      </c>
      <c r="P9" s="100">
        <v>211710</v>
      </c>
      <c r="Q9" s="100">
        <v>211710</v>
      </c>
      <c r="R9" s="97">
        <v>1270260</v>
      </c>
      <c r="S9" s="100">
        <v>1481970</v>
      </c>
    </row>
    <row r="10" spans="1:21" ht="15" customHeight="1" x14ac:dyDescent="0.3">
      <c r="A10" s="106">
        <v>6</v>
      </c>
      <c r="B10" s="105" t="s">
        <v>356</v>
      </c>
      <c r="C10" s="104">
        <v>1</v>
      </c>
      <c r="D10" s="104">
        <v>8</v>
      </c>
      <c r="E10" s="100"/>
      <c r="F10" s="100"/>
      <c r="G10" s="100"/>
      <c r="H10" s="100"/>
      <c r="I10" s="100"/>
      <c r="J10" s="100"/>
      <c r="K10" s="97"/>
      <c r="L10" s="100"/>
      <c r="M10" s="100">
        <v>211710</v>
      </c>
      <c r="N10" s="100">
        <v>211710</v>
      </c>
      <c r="O10" s="100">
        <v>211710</v>
      </c>
      <c r="P10" s="100">
        <v>211710</v>
      </c>
      <c r="Q10" s="100">
        <v>211710</v>
      </c>
      <c r="R10" s="97">
        <v>1058550</v>
      </c>
      <c r="S10" s="100">
        <v>1058550</v>
      </c>
    </row>
    <row r="11" spans="1:21" ht="15" customHeight="1" x14ac:dyDescent="0.3">
      <c r="A11" s="106">
        <v>7</v>
      </c>
      <c r="B11" s="105" t="s">
        <v>357</v>
      </c>
      <c r="C11" s="104">
        <v>1</v>
      </c>
      <c r="D11" s="104">
        <v>10</v>
      </c>
      <c r="E11" s="100"/>
      <c r="F11" s="100"/>
      <c r="G11" s="100"/>
      <c r="H11" s="100"/>
      <c r="I11" s="100"/>
      <c r="J11" s="100"/>
      <c r="K11" s="97"/>
      <c r="L11" s="100"/>
      <c r="M11" s="100"/>
      <c r="N11" s="100"/>
      <c r="O11" s="100">
        <v>211710</v>
      </c>
      <c r="P11" s="100">
        <v>211710</v>
      </c>
      <c r="Q11" s="100">
        <v>211710</v>
      </c>
      <c r="R11" s="97">
        <v>635130</v>
      </c>
      <c r="S11" s="100">
        <v>635130</v>
      </c>
    </row>
    <row r="12" spans="1:21" ht="15" customHeight="1" x14ac:dyDescent="0.3">
      <c r="A12" s="106">
        <v>8</v>
      </c>
      <c r="B12" s="103" t="s">
        <v>358</v>
      </c>
      <c r="C12" s="104">
        <v>1</v>
      </c>
      <c r="D12" s="104">
        <v>11</v>
      </c>
      <c r="E12" s="100"/>
      <c r="F12" s="100"/>
      <c r="G12" s="100"/>
      <c r="H12" s="100"/>
      <c r="I12" s="100"/>
      <c r="J12" s="100"/>
      <c r="K12" s="97"/>
      <c r="L12" s="100"/>
      <c r="M12" s="100"/>
      <c r="N12" s="100"/>
      <c r="O12" s="100"/>
      <c r="P12" s="100">
        <v>211710</v>
      </c>
      <c r="Q12" s="100">
        <v>211710</v>
      </c>
      <c r="R12" s="97">
        <v>423420</v>
      </c>
      <c r="S12" s="100">
        <v>423420</v>
      </c>
    </row>
    <row r="13" spans="1:21" ht="15" customHeight="1" x14ac:dyDescent="0.3">
      <c r="A13" s="106">
        <v>9</v>
      </c>
      <c r="B13" s="103" t="s">
        <v>359</v>
      </c>
      <c r="C13" s="104">
        <v>1</v>
      </c>
      <c r="D13" s="104">
        <v>11</v>
      </c>
      <c r="E13" s="100"/>
      <c r="F13" s="100"/>
      <c r="G13" s="100"/>
      <c r="H13" s="100"/>
      <c r="I13" s="100"/>
      <c r="J13" s="100"/>
      <c r="K13" s="97"/>
      <c r="L13" s="100"/>
      <c r="M13" s="100"/>
      <c r="N13" s="100"/>
      <c r="O13" s="100"/>
      <c r="P13" s="100">
        <v>211710</v>
      </c>
      <c r="Q13" s="100">
        <v>211710</v>
      </c>
      <c r="R13" s="97">
        <v>423420</v>
      </c>
      <c r="S13" s="100">
        <v>423420</v>
      </c>
    </row>
    <row r="14" spans="1:21" ht="15" customHeight="1" x14ac:dyDescent="0.3">
      <c r="A14" s="106">
        <v>10</v>
      </c>
      <c r="B14" s="103" t="s">
        <v>360</v>
      </c>
      <c r="C14" s="104">
        <v>1</v>
      </c>
      <c r="D14" s="104">
        <v>11</v>
      </c>
      <c r="E14" s="100"/>
      <c r="F14" s="100"/>
      <c r="G14" s="100"/>
      <c r="H14" s="100"/>
      <c r="I14" s="100"/>
      <c r="J14" s="100"/>
      <c r="K14" s="97"/>
      <c r="L14" s="100"/>
      <c r="M14" s="100"/>
      <c r="N14" s="100"/>
      <c r="O14" s="100"/>
      <c r="P14" s="100">
        <v>1481970</v>
      </c>
      <c r="Q14" s="100">
        <v>1481970</v>
      </c>
      <c r="R14" s="97">
        <v>2963940</v>
      </c>
      <c r="S14" s="100">
        <v>2963940</v>
      </c>
    </row>
    <row r="15" spans="1:21" ht="15" customHeight="1" x14ac:dyDescent="0.3">
      <c r="A15" s="106">
        <v>11</v>
      </c>
      <c r="B15" s="103" t="s">
        <v>361</v>
      </c>
      <c r="C15" s="104">
        <v>1</v>
      </c>
      <c r="D15" s="104">
        <v>12</v>
      </c>
      <c r="E15" s="100"/>
      <c r="F15" s="100"/>
      <c r="G15" s="100"/>
      <c r="H15" s="100"/>
      <c r="I15" s="100"/>
      <c r="J15" s="100"/>
      <c r="K15" s="97"/>
      <c r="L15" s="100"/>
      <c r="M15" s="100"/>
      <c r="N15" s="100"/>
      <c r="O15" s="100"/>
      <c r="P15" s="100"/>
      <c r="Q15" s="100">
        <v>211710</v>
      </c>
      <c r="R15" s="97">
        <v>211710</v>
      </c>
      <c r="S15" s="100">
        <v>211710</v>
      </c>
    </row>
    <row r="16" spans="1:21" ht="15" customHeight="1" x14ac:dyDescent="0.3">
      <c r="A16" s="106">
        <v>12</v>
      </c>
      <c r="B16" s="103" t="s">
        <v>341</v>
      </c>
      <c r="C16" s="104">
        <v>1</v>
      </c>
      <c r="D16" s="104">
        <v>12</v>
      </c>
      <c r="E16" s="100"/>
      <c r="F16" s="100"/>
      <c r="G16" s="100"/>
      <c r="H16" s="100"/>
      <c r="I16" s="100"/>
      <c r="J16" s="100"/>
      <c r="K16" s="97"/>
      <c r="L16" s="100"/>
      <c r="M16" s="100"/>
      <c r="N16" s="100"/>
      <c r="O16" s="100"/>
      <c r="P16" s="100"/>
      <c r="Q16" s="100">
        <v>211710</v>
      </c>
      <c r="R16" s="97">
        <v>211710</v>
      </c>
      <c r="S16" s="100">
        <v>211710</v>
      </c>
    </row>
    <row r="17" spans="1:21" ht="15" customHeight="1" x14ac:dyDescent="0.3">
      <c r="A17" s="106">
        <v>13</v>
      </c>
      <c r="B17" s="103"/>
      <c r="C17" s="104"/>
      <c r="D17" s="104"/>
      <c r="E17" s="100"/>
      <c r="F17" s="100"/>
      <c r="G17" s="100"/>
      <c r="H17" s="100"/>
      <c r="I17" s="100"/>
      <c r="J17" s="100"/>
      <c r="K17" s="97"/>
      <c r="L17" s="100"/>
      <c r="M17" s="100"/>
      <c r="N17" s="100"/>
      <c r="O17" s="100"/>
      <c r="P17" s="100"/>
      <c r="Q17" s="100"/>
      <c r="R17" s="97"/>
      <c r="S17" s="100"/>
    </row>
    <row r="18" spans="1:21" ht="15" customHeight="1" x14ac:dyDescent="0.3">
      <c r="A18" s="106">
        <v>14</v>
      </c>
      <c r="B18" s="103"/>
      <c r="C18" s="104"/>
      <c r="D18" s="104"/>
      <c r="E18" s="100"/>
      <c r="F18" s="100"/>
      <c r="G18" s="100"/>
      <c r="H18" s="100"/>
      <c r="I18" s="100"/>
      <c r="J18" s="100"/>
      <c r="K18" s="97"/>
      <c r="L18" s="100"/>
      <c r="M18" s="100"/>
      <c r="N18" s="100"/>
      <c r="O18" s="100"/>
      <c r="P18" s="100"/>
      <c r="Q18" s="100"/>
      <c r="R18" s="97"/>
      <c r="S18" s="100"/>
    </row>
    <row r="19" spans="1:21" s="95" customFormat="1" ht="14.25" thickBot="1" x14ac:dyDescent="0.35">
      <c r="A19" s="170"/>
      <c r="B19" s="112"/>
      <c r="C19" s="112"/>
      <c r="D19" s="112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71"/>
    </row>
    <row r="20" spans="1:21" ht="21" customHeight="1" thickBot="1" x14ac:dyDescent="0.35">
      <c r="A20" s="466" t="s">
        <v>138</v>
      </c>
      <c r="B20" s="319" t="s">
        <v>363</v>
      </c>
      <c r="C20" s="320"/>
      <c r="D20" s="327"/>
      <c r="E20" s="320">
        <v>211710</v>
      </c>
      <c r="F20" s="320">
        <v>1058550</v>
      </c>
      <c r="G20" s="320">
        <v>1058550</v>
      </c>
      <c r="H20" s="320">
        <v>1270260</v>
      </c>
      <c r="I20" s="320">
        <v>1481970</v>
      </c>
      <c r="J20" s="320">
        <v>1693680</v>
      </c>
      <c r="K20" s="320">
        <v>6774720</v>
      </c>
      <c r="L20" s="320">
        <v>1693680</v>
      </c>
      <c r="M20" s="320">
        <v>1905390</v>
      </c>
      <c r="N20" s="320">
        <v>1905390</v>
      </c>
      <c r="O20" s="320">
        <v>2117100</v>
      </c>
      <c r="P20" s="320">
        <v>4022490</v>
      </c>
      <c r="Q20" s="320">
        <v>4445910</v>
      </c>
      <c r="R20" s="320">
        <v>16089960</v>
      </c>
      <c r="S20" s="340">
        <v>22864680</v>
      </c>
      <c r="T20" s="312">
        <f>ROUND(S20/$U$2,0)</f>
        <v>539656</v>
      </c>
    </row>
    <row r="21" spans="1:21" s="95" customFormat="1" ht="21" customHeight="1" x14ac:dyDescent="0.3">
      <c r="A21" s="468"/>
      <c r="B21" s="302" t="s">
        <v>364</v>
      </c>
      <c r="C21" s="324"/>
      <c r="D21" s="324"/>
      <c r="E21" s="325">
        <v>5000</v>
      </c>
      <c r="F21" s="325">
        <v>25000</v>
      </c>
      <c r="G21" s="325">
        <v>25000</v>
      </c>
      <c r="H21" s="325">
        <v>30000</v>
      </c>
      <c r="I21" s="325">
        <v>35000</v>
      </c>
      <c r="J21" s="325">
        <v>40000</v>
      </c>
      <c r="K21" s="325">
        <v>160000</v>
      </c>
      <c r="L21" s="325">
        <v>40000</v>
      </c>
      <c r="M21" s="325">
        <v>45000</v>
      </c>
      <c r="N21" s="325">
        <v>45000</v>
      </c>
      <c r="O21" s="325">
        <v>50000</v>
      </c>
      <c r="P21" s="325">
        <v>95000</v>
      </c>
      <c r="Q21" s="325">
        <v>105000</v>
      </c>
      <c r="R21" s="325">
        <v>380000</v>
      </c>
      <c r="S21" s="326">
        <v>540000</v>
      </c>
      <c r="U21" s="95">
        <f>S20/S21</f>
        <v>42.341999999999999</v>
      </c>
    </row>
    <row r="22" spans="1:21" ht="21" customHeight="1" x14ac:dyDescent="0.3">
      <c r="A22" s="469" t="s">
        <v>139</v>
      </c>
      <c r="B22" s="143" t="s">
        <v>365</v>
      </c>
      <c r="C22" s="144"/>
      <c r="D22" s="144"/>
      <c r="E22" s="173">
        <v>19840410</v>
      </c>
      <c r="F22" s="173">
        <v>20074163</v>
      </c>
      <c r="G22" s="173">
        <v>20948985</v>
      </c>
      <c r="H22" s="173">
        <v>19907878</v>
      </c>
      <c r="I22" s="173">
        <v>18980544</v>
      </c>
      <c r="J22" s="173">
        <v>18174118</v>
      </c>
      <c r="K22" s="145">
        <v>117926098</v>
      </c>
      <c r="L22" s="173">
        <v>17151212</v>
      </c>
      <c r="M22" s="173">
        <v>15623698</v>
      </c>
      <c r="N22" s="173">
        <v>20097338</v>
      </c>
      <c r="O22" s="173">
        <v>16311347</v>
      </c>
      <c r="P22" s="173">
        <v>19709170</v>
      </c>
      <c r="Q22" s="173">
        <v>22635875</v>
      </c>
      <c r="R22" s="145">
        <v>111528640</v>
      </c>
      <c r="S22" s="172">
        <v>229454738</v>
      </c>
    </row>
    <row r="23" spans="1:21" s="95" customFormat="1" ht="21" customHeight="1" x14ac:dyDescent="0.3">
      <c r="A23" s="467"/>
      <c r="B23" s="133" t="s">
        <v>366</v>
      </c>
      <c r="C23" s="134"/>
      <c r="D23" s="134"/>
      <c r="E23" s="181">
        <v>840082658</v>
      </c>
      <c r="F23" s="181">
        <v>849980220</v>
      </c>
      <c r="G23" s="181">
        <v>887021929</v>
      </c>
      <c r="H23" s="181">
        <v>842939351</v>
      </c>
      <c r="I23" s="181">
        <v>803674206</v>
      </c>
      <c r="J23" s="181">
        <v>769528498</v>
      </c>
      <c r="K23" s="181">
        <v>4993226862</v>
      </c>
      <c r="L23" s="181">
        <v>726216598</v>
      </c>
      <c r="M23" s="181">
        <v>661538623</v>
      </c>
      <c r="N23" s="181">
        <v>850961484</v>
      </c>
      <c r="O23" s="181">
        <v>690655043</v>
      </c>
      <c r="P23" s="181">
        <v>834525660</v>
      </c>
      <c r="Q23" s="181">
        <v>958448214</v>
      </c>
      <c r="R23" s="184">
        <v>4722345622</v>
      </c>
      <c r="S23" s="182">
        <v>9715572484</v>
      </c>
    </row>
    <row r="24" spans="1:21" ht="21" customHeight="1" x14ac:dyDescent="0.3">
      <c r="A24" s="469" t="s">
        <v>140</v>
      </c>
      <c r="B24" s="174" t="s">
        <v>367</v>
      </c>
      <c r="C24" s="175"/>
      <c r="D24" s="175"/>
      <c r="E24" s="176">
        <v>19845410</v>
      </c>
      <c r="F24" s="176">
        <v>20099163</v>
      </c>
      <c r="G24" s="176">
        <v>20973985</v>
      </c>
      <c r="H24" s="176">
        <v>19937878</v>
      </c>
      <c r="I24" s="176">
        <v>19015544</v>
      </c>
      <c r="J24" s="176">
        <v>18214118</v>
      </c>
      <c r="K24" s="176">
        <v>118086098</v>
      </c>
      <c r="L24" s="176">
        <v>17191212</v>
      </c>
      <c r="M24" s="176">
        <v>15668698</v>
      </c>
      <c r="N24" s="176">
        <v>20142338</v>
      </c>
      <c r="O24" s="176">
        <v>16361347</v>
      </c>
      <c r="P24" s="176">
        <v>19804170</v>
      </c>
      <c r="Q24" s="176">
        <v>22740875</v>
      </c>
      <c r="R24" s="176">
        <v>111908640</v>
      </c>
      <c r="S24" s="176">
        <v>229994738</v>
      </c>
    </row>
    <row r="25" spans="1:21" ht="21" customHeight="1" x14ac:dyDescent="0.3">
      <c r="A25" s="468"/>
      <c r="B25" s="177" t="s">
        <v>368</v>
      </c>
      <c r="C25" s="178"/>
      <c r="D25" s="178"/>
      <c r="E25" s="179">
        <v>840294368</v>
      </c>
      <c r="F25" s="179">
        <v>851038770</v>
      </c>
      <c r="G25" s="179">
        <v>888080479</v>
      </c>
      <c r="H25" s="179">
        <v>844209611</v>
      </c>
      <c r="I25" s="179">
        <v>805156176</v>
      </c>
      <c r="J25" s="179">
        <v>771222178</v>
      </c>
      <c r="K25" s="179">
        <v>5000001582</v>
      </c>
      <c r="L25" s="179">
        <v>727910278</v>
      </c>
      <c r="M25" s="179">
        <v>663444013</v>
      </c>
      <c r="N25" s="179">
        <v>852866874</v>
      </c>
      <c r="O25" s="179">
        <v>692772143</v>
      </c>
      <c r="P25" s="179">
        <v>838548150</v>
      </c>
      <c r="Q25" s="179">
        <v>962894124</v>
      </c>
      <c r="R25" s="179">
        <v>4738435582</v>
      </c>
      <c r="S25" s="180">
        <v>9738437164</v>
      </c>
    </row>
    <row r="26" spans="1:21" ht="21" customHeight="1" x14ac:dyDescent="0.3">
      <c r="A26" s="469" t="s">
        <v>141</v>
      </c>
      <c r="B26" s="152" t="s">
        <v>369</v>
      </c>
      <c r="C26" s="153"/>
      <c r="D26" s="153"/>
      <c r="E26" s="154">
        <v>23012017</v>
      </c>
      <c r="F26" s="154">
        <v>18861882</v>
      </c>
      <c r="G26" s="154">
        <v>21505479</v>
      </c>
      <c r="H26" s="154">
        <v>19454561</v>
      </c>
      <c r="I26" s="154">
        <v>19164570</v>
      </c>
      <c r="J26" s="154">
        <v>17991574</v>
      </c>
      <c r="K26" s="154">
        <v>119990083</v>
      </c>
      <c r="L26" s="154">
        <v>17330290</v>
      </c>
      <c r="M26" s="154">
        <v>16056121</v>
      </c>
      <c r="N26" s="154">
        <v>17063982.717257123</v>
      </c>
      <c r="O26" s="154">
        <v>19537522.931078658</v>
      </c>
      <c r="P26" s="154">
        <v>20559281.811194185</v>
      </c>
      <c r="Q26" s="154">
        <v>22071821.093331471</v>
      </c>
      <c r="R26" s="154">
        <v>112619019.55286144</v>
      </c>
      <c r="S26" s="154">
        <v>232609102.55286145</v>
      </c>
    </row>
    <row r="27" spans="1:21" ht="21" customHeight="1" x14ac:dyDescent="0.3">
      <c r="A27" s="467"/>
      <c r="B27" s="155" t="s">
        <v>370</v>
      </c>
      <c r="C27" s="156"/>
      <c r="D27" s="156"/>
      <c r="E27" s="157">
        <v>980833014</v>
      </c>
      <c r="F27" s="157">
        <v>808407176</v>
      </c>
      <c r="G27" s="157">
        <v>923318506</v>
      </c>
      <c r="H27" s="157">
        <v>831526827</v>
      </c>
      <c r="I27" s="157">
        <v>816449032</v>
      </c>
      <c r="J27" s="157">
        <v>763220545</v>
      </c>
      <c r="K27" s="157">
        <v>5123755100</v>
      </c>
      <c r="L27" s="157">
        <v>737629136</v>
      </c>
      <c r="M27" s="157">
        <v>689337442</v>
      </c>
      <c r="N27" s="157">
        <v>732607970</v>
      </c>
      <c r="O27" s="157">
        <v>838804472</v>
      </c>
      <c r="P27" s="157">
        <v>882671646</v>
      </c>
      <c r="Q27" s="157">
        <v>947609495</v>
      </c>
      <c r="R27" s="157">
        <v>4828660161</v>
      </c>
      <c r="S27" s="157">
        <v>9952415261</v>
      </c>
    </row>
    <row r="28" spans="1:21" ht="21" customHeight="1" x14ac:dyDescent="0.3">
      <c r="A28" s="468"/>
      <c r="B28" s="115" t="s">
        <v>302</v>
      </c>
      <c r="C28" s="109"/>
      <c r="D28" s="109"/>
      <c r="E28" s="305">
        <f>E25/E27</f>
        <v>0.85671501265351979</v>
      </c>
      <c r="F28" s="305">
        <f t="shared" ref="F28:S28" si="0">F25/F27</f>
        <v>1.0527352988266894</v>
      </c>
      <c r="G28" s="305">
        <f t="shared" si="0"/>
        <v>0.96183545897649325</v>
      </c>
      <c r="H28" s="305">
        <f t="shared" si="0"/>
        <v>1.0152524050796499</v>
      </c>
      <c r="I28" s="305">
        <f t="shared" si="0"/>
        <v>0.98616832703893753</v>
      </c>
      <c r="J28" s="305">
        <f t="shared" si="0"/>
        <v>1.0104840377429829</v>
      </c>
      <c r="K28" s="305">
        <f t="shared" si="0"/>
        <v>0.97584710518268136</v>
      </c>
      <c r="L28" s="305">
        <f t="shared" si="0"/>
        <v>0.98682419453669734</v>
      </c>
      <c r="M28" s="305">
        <f t="shared" si="0"/>
        <v>0.96243722243655527</v>
      </c>
      <c r="N28" s="305">
        <f t="shared" si="0"/>
        <v>1.1641517822963352</v>
      </c>
      <c r="O28" s="305">
        <f t="shared" si="0"/>
        <v>0.82590420786407059</v>
      </c>
      <c r="P28" s="305">
        <f t="shared" si="0"/>
        <v>0.95001142701257679</v>
      </c>
      <c r="Q28" s="305">
        <f t="shared" si="0"/>
        <v>1.0161296705875662</v>
      </c>
      <c r="R28" s="305">
        <f t="shared" si="0"/>
        <v>0.9813147796714452</v>
      </c>
      <c r="S28" s="305">
        <f t="shared" si="0"/>
        <v>0.97849988255227804</v>
      </c>
    </row>
    <row r="29" spans="1:21" s="161" customFormat="1" x14ac:dyDescent="0.3">
      <c r="A29" s="158"/>
      <c r="B29" s="159"/>
      <c r="C29" s="98"/>
      <c r="D29" s="98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spans="1:21" ht="16.5" x14ac:dyDescent="0.3">
      <c r="E30"/>
      <c r="F30"/>
      <c r="G30"/>
    </row>
    <row r="31" spans="1:21" ht="16.5" x14ac:dyDescent="0.3">
      <c r="D31" s="147"/>
      <c r="E31" s="147" t="s">
        <v>118</v>
      </c>
      <c r="F31" s="147" t="s">
        <v>119</v>
      </c>
      <c r="G31" s="147" t="s">
        <v>120</v>
      </c>
      <c r="H31" s="147" t="s">
        <v>121</v>
      </c>
      <c r="I31" s="147" t="s">
        <v>122</v>
      </c>
      <c r="J31" s="147" t="s">
        <v>123</v>
      </c>
      <c r="K31" s="147" t="s">
        <v>124</v>
      </c>
      <c r="L31" s="147" t="s">
        <v>125</v>
      </c>
      <c r="M31" s="147" t="s">
        <v>126</v>
      </c>
      <c r="N31" s="147" t="s">
        <v>127</v>
      </c>
      <c r="O31" s="147" t="s">
        <v>116</v>
      </c>
      <c r="P31" s="147" t="s">
        <v>128</v>
      </c>
      <c r="Q31" s="148" t="s">
        <v>129</v>
      </c>
      <c r="R31" s="148"/>
    </row>
    <row r="32" spans="1:21" ht="16.5" x14ac:dyDescent="0.3">
      <c r="D32" s="147" t="s">
        <v>47</v>
      </c>
      <c r="E32" s="8">
        <f t="shared" ref="E32:J32" si="1">E20</f>
        <v>211710</v>
      </c>
      <c r="F32" s="8">
        <f t="shared" si="1"/>
        <v>1058550</v>
      </c>
      <c r="G32" s="149">
        <f t="shared" si="1"/>
        <v>1058550</v>
      </c>
      <c r="H32" s="149">
        <f t="shared" si="1"/>
        <v>1270260</v>
      </c>
      <c r="I32" s="149">
        <f t="shared" si="1"/>
        <v>1481970</v>
      </c>
      <c r="J32" s="149">
        <f t="shared" si="1"/>
        <v>1693680</v>
      </c>
      <c r="K32" s="149">
        <f t="shared" ref="K32:P32" si="2">L20</f>
        <v>1693680</v>
      </c>
      <c r="L32" s="149">
        <f t="shared" si="2"/>
        <v>1905390</v>
      </c>
      <c r="M32" s="149">
        <f t="shared" si="2"/>
        <v>1905390</v>
      </c>
      <c r="N32" s="149">
        <f t="shared" si="2"/>
        <v>2117100</v>
      </c>
      <c r="O32" s="149">
        <f t="shared" si="2"/>
        <v>4022490</v>
      </c>
      <c r="P32" s="149">
        <f t="shared" si="2"/>
        <v>4445910</v>
      </c>
      <c r="Q32" s="149">
        <f>S20</f>
        <v>22864680</v>
      </c>
      <c r="R32" s="150">
        <f>SUM(E32:P32)</f>
        <v>22864680</v>
      </c>
      <c r="T32" s="93" t="b">
        <f>R32=Q32</f>
        <v>1</v>
      </c>
    </row>
    <row r="33" spans="4:20" ht="16.5" x14ac:dyDescent="0.3">
      <c r="D33" s="147" t="s">
        <v>36</v>
      </c>
      <c r="E33" s="6">
        <f>ROUND(E32/$U$2,0)</f>
        <v>4997</v>
      </c>
      <c r="F33" s="6">
        <f t="shared" ref="F33:Q33" si="3">ROUND(F32/$U$2,0)</f>
        <v>24984</v>
      </c>
      <c r="G33" s="151">
        <f t="shared" si="3"/>
        <v>24984</v>
      </c>
      <c r="H33" s="151">
        <f t="shared" si="3"/>
        <v>29981</v>
      </c>
      <c r="I33" s="151">
        <f t="shared" si="3"/>
        <v>34978</v>
      </c>
      <c r="J33" s="150">
        <f t="shared" si="3"/>
        <v>39975</v>
      </c>
      <c r="K33" s="151">
        <f t="shared" si="3"/>
        <v>39975</v>
      </c>
      <c r="L33" s="151">
        <f t="shared" si="3"/>
        <v>44971</v>
      </c>
      <c r="M33" s="151">
        <f t="shared" si="3"/>
        <v>44971</v>
      </c>
      <c r="N33" s="151">
        <f t="shared" si="3"/>
        <v>49968</v>
      </c>
      <c r="O33" s="151">
        <f t="shared" si="3"/>
        <v>94939</v>
      </c>
      <c r="P33" s="151">
        <f t="shared" si="3"/>
        <v>104933</v>
      </c>
      <c r="Q33" s="150">
        <f t="shared" si="3"/>
        <v>539656</v>
      </c>
      <c r="R33" s="150">
        <f>ROUND(AVERAGE(E33:P33),0)</f>
        <v>44971</v>
      </c>
    </row>
    <row r="34" spans="4:20" ht="16.5" x14ac:dyDescent="0.3">
      <c r="D34" s="147" t="s">
        <v>158</v>
      </c>
      <c r="E34" s="195">
        <f>E33</f>
        <v>4997</v>
      </c>
      <c r="F34" s="195">
        <f t="shared" ref="F34:P35" si="4">E34+F33</f>
        <v>29981</v>
      </c>
      <c r="G34" s="196">
        <f t="shared" si="4"/>
        <v>54965</v>
      </c>
      <c r="H34" s="196">
        <f t="shared" si="4"/>
        <v>84946</v>
      </c>
      <c r="I34" s="196">
        <f t="shared" si="4"/>
        <v>119924</v>
      </c>
      <c r="J34" s="197">
        <f t="shared" si="4"/>
        <v>159899</v>
      </c>
      <c r="K34" s="196">
        <f t="shared" si="4"/>
        <v>199874</v>
      </c>
      <c r="L34" s="196">
        <f t="shared" si="4"/>
        <v>244845</v>
      </c>
      <c r="M34" s="196">
        <f t="shared" si="4"/>
        <v>289816</v>
      </c>
      <c r="N34" s="196">
        <f t="shared" si="4"/>
        <v>339784</v>
      </c>
      <c r="O34" s="196">
        <f t="shared" si="4"/>
        <v>434723</v>
      </c>
      <c r="P34" s="196">
        <f t="shared" si="4"/>
        <v>539656</v>
      </c>
      <c r="Q34" s="322">
        <f>P34</f>
        <v>539656</v>
      </c>
      <c r="R34" s="323" t="s">
        <v>160</v>
      </c>
      <c r="T34" s="93" t="b">
        <f>Q34=T20</f>
        <v>1</v>
      </c>
    </row>
    <row r="35" spans="4:20" ht="16.5" x14ac:dyDescent="0.3">
      <c r="D35" s="147" t="s">
        <v>159</v>
      </c>
      <c r="E35" s="195">
        <f>E34</f>
        <v>4997</v>
      </c>
      <c r="F35" s="195">
        <f t="shared" si="4"/>
        <v>34978</v>
      </c>
      <c r="G35" s="196">
        <f t="shared" si="4"/>
        <v>89943</v>
      </c>
      <c r="H35" s="196">
        <f t="shared" si="4"/>
        <v>174889</v>
      </c>
      <c r="I35" s="196">
        <f t="shared" si="4"/>
        <v>294813</v>
      </c>
      <c r="J35" s="197">
        <f t="shared" si="4"/>
        <v>454712</v>
      </c>
      <c r="K35" s="196">
        <f t="shared" si="4"/>
        <v>654586</v>
      </c>
      <c r="L35" s="196">
        <f t="shared" si="4"/>
        <v>899431</v>
      </c>
      <c r="M35" s="196">
        <f t="shared" si="4"/>
        <v>1189247</v>
      </c>
      <c r="N35" s="196">
        <f t="shared" si="4"/>
        <v>1529031</v>
      </c>
      <c r="O35" s="196">
        <f t="shared" si="4"/>
        <v>1963754</v>
      </c>
      <c r="P35" s="196">
        <f t="shared" si="4"/>
        <v>2503410</v>
      </c>
      <c r="Q35" s="322">
        <f>P35</f>
        <v>2503410</v>
      </c>
      <c r="R35" s="323" t="s">
        <v>161</v>
      </c>
    </row>
    <row r="36" spans="4:20" ht="16.5" x14ac:dyDescent="0.3">
      <c r="D36" s="271"/>
      <c r="E36"/>
      <c r="F36"/>
      <c r="G36"/>
    </row>
    <row r="37" spans="4:20" ht="17.25" thickBot="1" x14ac:dyDescent="0.35">
      <c r="D37" s="307" t="s">
        <v>47</v>
      </c>
      <c r="E37" s="307" t="s">
        <v>118</v>
      </c>
      <c r="F37" s="307" t="s">
        <v>119</v>
      </c>
      <c r="G37" s="307" t="s">
        <v>120</v>
      </c>
      <c r="H37" s="307" t="s">
        <v>121</v>
      </c>
      <c r="I37" s="307" t="s">
        <v>122</v>
      </c>
      <c r="J37" s="307" t="s">
        <v>123</v>
      </c>
      <c r="K37" s="307" t="s">
        <v>124</v>
      </c>
      <c r="L37" s="307" t="s">
        <v>125</v>
      </c>
      <c r="M37" s="307" t="s">
        <v>126</v>
      </c>
      <c r="N37" s="307" t="s">
        <v>127</v>
      </c>
      <c r="O37" s="307" t="s">
        <v>116</v>
      </c>
      <c r="P37" s="307" t="s">
        <v>128</v>
      </c>
      <c r="Q37" s="308" t="s">
        <v>129</v>
      </c>
    </row>
    <row r="38" spans="4:20" ht="17.25" thickBot="1" x14ac:dyDescent="0.35">
      <c r="D38" s="335" t="s">
        <v>308</v>
      </c>
      <c r="E38" s="336">
        <f>E39</f>
        <v>211710</v>
      </c>
      <c r="F38" s="336">
        <f>F39-E39</f>
        <v>846840</v>
      </c>
      <c r="G38" s="336">
        <f t="shared" ref="G38:P38" si="5">G39-F39</f>
        <v>0</v>
      </c>
      <c r="H38" s="336">
        <f t="shared" si="5"/>
        <v>211710</v>
      </c>
      <c r="I38" s="336">
        <f t="shared" si="5"/>
        <v>211710</v>
      </c>
      <c r="J38" s="336">
        <f t="shared" si="5"/>
        <v>211710</v>
      </c>
      <c r="K38" s="336">
        <f t="shared" si="5"/>
        <v>0</v>
      </c>
      <c r="L38" s="336">
        <f t="shared" si="5"/>
        <v>211710</v>
      </c>
      <c r="M38" s="336">
        <f t="shared" si="5"/>
        <v>0</v>
      </c>
      <c r="N38" s="336">
        <f t="shared" si="5"/>
        <v>211710</v>
      </c>
      <c r="O38" s="336">
        <f t="shared" si="5"/>
        <v>1905390</v>
      </c>
      <c r="P38" s="336">
        <f t="shared" si="5"/>
        <v>423420</v>
      </c>
      <c r="Q38" s="337">
        <f>SUM(E38:P38)</f>
        <v>4445910</v>
      </c>
    </row>
    <row r="39" spans="4:20" ht="16.5" x14ac:dyDescent="0.3">
      <c r="D39" s="309" t="s">
        <v>309</v>
      </c>
      <c r="E39" s="310">
        <f t="shared" ref="E39:J39" si="6">E20</f>
        <v>211710</v>
      </c>
      <c r="F39" s="310">
        <f t="shared" si="6"/>
        <v>1058550</v>
      </c>
      <c r="G39" s="310">
        <f t="shared" si="6"/>
        <v>1058550</v>
      </c>
      <c r="H39" s="311">
        <f t="shared" si="6"/>
        <v>1270260</v>
      </c>
      <c r="I39" s="311">
        <f t="shared" si="6"/>
        <v>1481970</v>
      </c>
      <c r="J39" s="311">
        <f t="shared" si="6"/>
        <v>1693680</v>
      </c>
      <c r="K39" s="311">
        <f t="shared" ref="K39:P39" si="7">L20</f>
        <v>1693680</v>
      </c>
      <c r="L39" s="311">
        <f t="shared" si="7"/>
        <v>1905390</v>
      </c>
      <c r="M39" s="311">
        <f t="shared" si="7"/>
        <v>1905390</v>
      </c>
      <c r="N39" s="311">
        <f t="shared" si="7"/>
        <v>2117100</v>
      </c>
      <c r="O39" s="311">
        <f t="shared" si="7"/>
        <v>4022490</v>
      </c>
      <c r="P39" s="311">
        <f t="shared" si="7"/>
        <v>4445910</v>
      </c>
      <c r="Q39" s="338">
        <f>SUM(E39:P39)</f>
        <v>22864680</v>
      </c>
    </row>
    <row r="40" spans="4:20" ht="16.5" x14ac:dyDescent="0.3">
      <c r="D40" s="265" t="s">
        <v>247</v>
      </c>
      <c r="E40" s="263">
        <f>E39</f>
        <v>211710</v>
      </c>
      <c r="F40" s="263">
        <f>E40+F39</f>
        <v>1270260</v>
      </c>
      <c r="G40" s="263">
        <f t="shared" ref="G40:P40" si="8">F40+G39</f>
        <v>2328810</v>
      </c>
      <c r="H40" s="266">
        <f t="shared" si="8"/>
        <v>3599070</v>
      </c>
      <c r="I40" s="266">
        <f t="shared" si="8"/>
        <v>5081040</v>
      </c>
      <c r="J40" s="266">
        <f t="shared" si="8"/>
        <v>6774720</v>
      </c>
      <c r="K40" s="264">
        <f t="shared" si="8"/>
        <v>8468400</v>
      </c>
      <c r="L40" s="264">
        <f t="shared" si="8"/>
        <v>10373790</v>
      </c>
      <c r="M40" s="266">
        <f t="shared" si="8"/>
        <v>12279180</v>
      </c>
      <c r="N40" s="266">
        <f t="shared" si="8"/>
        <v>14396280</v>
      </c>
      <c r="O40" s="266">
        <f t="shared" si="8"/>
        <v>18418770</v>
      </c>
      <c r="P40" s="266">
        <f t="shared" si="8"/>
        <v>22864680</v>
      </c>
      <c r="Q40" s="269" t="b">
        <f>Q39=S20</f>
        <v>1</v>
      </c>
      <c r="R40" s="93"/>
    </row>
    <row r="41" spans="4:20" ht="16.5" x14ac:dyDescent="0.3">
      <c r="E41" s="233"/>
      <c r="F41" s="233"/>
      <c r="G41" s="233"/>
      <c r="H41" s="132"/>
      <c r="I41" s="132"/>
      <c r="J41" s="132"/>
      <c r="K41" s="234"/>
      <c r="L41" s="132"/>
      <c r="M41" s="132"/>
      <c r="N41" s="132"/>
      <c r="O41" s="132"/>
      <c r="P41" s="132"/>
      <c r="Q41" s="132"/>
    </row>
    <row r="42" spans="4:20" ht="16.5" x14ac:dyDescent="0.3">
      <c r="E42" s="233">
        <f>E38</f>
        <v>211710</v>
      </c>
      <c r="F42" s="233">
        <f>E42+F38</f>
        <v>1058550</v>
      </c>
      <c r="G42" s="233">
        <f>F42+G38</f>
        <v>1058550</v>
      </c>
      <c r="H42" s="93">
        <f t="shared" ref="H42:P42" si="9">G42+H38</f>
        <v>1270260</v>
      </c>
      <c r="I42" s="93">
        <f t="shared" si="9"/>
        <v>1481970</v>
      </c>
      <c r="J42" s="93">
        <f t="shared" si="9"/>
        <v>1693680</v>
      </c>
      <c r="K42" s="95">
        <f t="shared" si="9"/>
        <v>1693680</v>
      </c>
      <c r="L42" s="93">
        <f t="shared" si="9"/>
        <v>1905390</v>
      </c>
      <c r="M42" s="93">
        <f t="shared" si="9"/>
        <v>1905390</v>
      </c>
      <c r="N42" s="93">
        <f t="shared" si="9"/>
        <v>2117100</v>
      </c>
      <c r="O42" s="93">
        <f t="shared" si="9"/>
        <v>4022490</v>
      </c>
      <c r="P42" s="93">
        <f t="shared" si="9"/>
        <v>4445910</v>
      </c>
    </row>
    <row r="43" spans="4:20" x14ac:dyDescent="0.3">
      <c r="E43" s="93" t="b">
        <f t="shared" ref="E43:P43" si="10">E39=E42</f>
        <v>1</v>
      </c>
      <c r="F43" s="93" t="b">
        <f t="shared" si="10"/>
        <v>1</v>
      </c>
      <c r="G43" s="93" t="b">
        <f t="shared" si="10"/>
        <v>1</v>
      </c>
      <c r="H43" s="93" t="b">
        <f t="shared" si="10"/>
        <v>1</v>
      </c>
      <c r="I43" s="93" t="b">
        <f t="shared" si="10"/>
        <v>1</v>
      </c>
      <c r="J43" s="93" t="b">
        <f t="shared" si="10"/>
        <v>1</v>
      </c>
      <c r="K43" s="95" t="b">
        <f t="shared" si="10"/>
        <v>1</v>
      </c>
      <c r="L43" s="93" t="b">
        <f t="shared" si="10"/>
        <v>1</v>
      </c>
      <c r="M43" s="93" t="b">
        <f t="shared" si="10"/>
        <v>1</v>
      </c>
      <c r="N43" s="93" t="b">
        <f t="shared" si="10"/>
        <v>1</v>
      </c>
      <c r="O43" s="93" t="b">
        <f t="shared" si="10"/>
        <v>1</v>
      </c>
      <c r="P43" s="93" t="b">
        <f t="shared" si="10"/>
        <v>1</v>
      </c>
    </row>
    <row r="45" spans="4:20" ht="17.25" thickBot="1" x14ac:dyDescent="0.35">
      <c r="D45" s="307" t="s">
        <v>36</v>
      </c>
      <c r="E45" s="307" t="s">
        <v>118</v>
      </c>
      <c r="F45" s="307" t="s">
        <v>119</v>
      </c>
      <c r="G45" s="307" t="s">
        <v>120</v>
      </c>
      <c r="H45" s="307" t="s">
        <v>121</v>
      </c>
      <c r="I45" s="307" t="s">
        <v>122</v>
      </c>
      <c r="J45" s="307" t="s">
        <v>123</v>
      </c>
      <c r="K45" s="307" t="s">
        <v>124</v>
      </c>
      <c r="L45" s="307" t="s">
        <v>125</v>
      </c>
      <c r="M45" s="307" t="s">
        <v>126</v>
      </c>
      <c r="N45" s="307" t="s">
        <v>127</v>
      </c>
      <c r="O45" s="307" t="s">
        <v>116</v>
      </c>
      <c r="P45" s="307" t="s">
        <v>128</v>
      </c>
      <c r="Q45" s="308" t="s">
        <v>129</v>
      </c>
    </row>
    <row r="46" spans="4:20" ht="17.25" thickBot="1" x14ac:dyDescent="0.35">
      <c r="D46" s="335" t="s">
        <v>248</v>
      </c>
      <c r="E46" s="336">
        <f>E47</f>
        <v>5000</v>
      </c>
      <c r="F46" s="336">
        <f t="shared" ref="F46:P46" si="11">F47-E47</f>
        <v>20000</v>
      </c>
      <c r="G46" s="336">
        <f t="shared" si="11"/>
        <v>0</v>
      </c>
      <c r="H46" s="336">
        <f t="shared" si="11"/>
        <v>5000</v>
      </c>
      <c r="I46" s="336">
        <f t="shared" si="11"/>
        <v>5000</v>
      </c>
      <c r="J46" s="336">
        <f t="shared" si="11"/>
        <v>5000</v>
      </c>
      <c r="K46" s="336">
        <f t="shared" si="11"/>
        <v>0</v>
      </c>
      <c r="L46" s="336">
        <f t="shared" si="11"/>
        <v>5000</v>
      </c>
      <c r="M46" s="336">
        <f t="shared" si="11"/>
        <v>0</v>
      </c>
      <c r="N46" s="336">
        <f t="shared" si="11"/>
        <v>5000</v>
      </c>
      <c r="O46" s="336">
        <f t="shared" si="11"/>
        <v>45000</v>
      </c>
      <c r="P46" s="336">
        <f t="shared" si="11"/>
        <v>10000</v>
      </c>
      <c r="Q46" s="337">
        <f>SUM(E46:P46)</f>
        <v>105000</v>
      </c>
    </row>
    <row r="47" spans="4:20" ht="16.5" x14ac:dyDescent="0.3">
      <c r="D47" s="309" t="s">
        <v>41</v>
      </c>
      <c r="E47" s="310">
        <f t="shared" ref="E47:J47" si="12">E21</f>
        <v>5000</v>
      </c>
      <c r="F47" s="310">
        <f t="shared" si="12"/>
        <v>25000</v>
      </c>
      <c r="G47" s="310">
        <f t="shared" si="12"/>
        <v>25000</v>
      </c>
      <c r="H47" s="311">
        <f t="shared" si="12"/>
        <v>30000</v>
      </c>
      <c r="I47" s="311">
        <f t="shared" si="12"/>
        <v>35000</v>
      </c>
      <c r="J47" s="311">
        <f t="shared" si="12"/>
        <v>40000</v>
      </c>
      <c r="K47" s="311">
        <f t="shared" ref="K47:P47" si="13">L21</f>
        <v>40000</v>
      </c>
      <c r="L47" s="311">
        <f t="shared" si="13"/>
        <v>45000</v>
      </c>
      <c r="M47" s="311">
        <f t="shared" si="13"/>
        <v>45000</v>
      </c>
      <c r="N47" s="311">
        <f t="shared" si="13"/>
        <v>50000</v>
      </c>
      <c r="O47" s="311">
        <f t="shared" si="13"/>
        <v>95000</v>
      </c>
      <c r="P47" s="311">
        <f t="shared" si="13"/>
        <v>105000</v>
      </c>
      <c r="Q47" s="338">
        <f>SUM(E47:P47)</f>
        <v>540000</v>
      </c>
      <c r="T47" s="93" t="b">
        <f>Q47=Q34</f>
        <v>0</v>
      </c>
    </row>
    <row r="48" spans="4:20" ht="16.5" x14ac:dyDescent="0.3">
      <c r="D48" s="148" t="s">
        <v>247</v>
      </c>
      <c r="E48" s="268">
        <f>E47</f>
        <v>5000</v>
      </c>
      <c r="F48" s="268">
        <f t="shared" ref="F48:P48" si="14">E48+F47</f>
        <v>30000</v>
      </c>
      <c r="G48" s="268">
        <f t="shared" si="14"/>
        <v>55000</v>
      </c>
      <c r="H48" s="264">
        <f t="shared" si="14"/>
        <v>85000</v>
      </c>
      <c r="I48" s="264">
        <f t="shared" si="14"/>
        <v>120000</v>
      </c>
      <c r="J48" s="264">
        <f t="shared" si="14"/>
        <v>160000</v>
      </c>
      <c r="K48" s="264">
        <f t="shared" si="14"/>
        <v>200000</v>
      </c>
      <c r="L48" s="264">
        <f t="shared" si="14"/>
        <v>245000</v>
      </c>
      <c r="M48" s="264">
        <f t="shared" si="14"/>
        <v>290000</v>
      </c>
      <c r="N48" s="264">
        <f t="shared" si="14"/>
        <v>340000</v>
      </c>
      <c r="O48" s="264">
        <f t="shared" si="14"/>
        <v>435000</v>
      </c>
      <c r="P48" s="264">
        <f t="shared" si="14"/>
        <v>540000</v>
      </c>
      <c r="Q48" s="270" t="b">
        <f>Q47=S21</f>
        <v>1</v>
      </c>
    </row>
    <row r="49" spans="4:17" ht="16.5" x14ac:dyDescent="0.3">
      <c r="E49"/>
      <c r="F49"/>
      <c r="G49"/>
    </row>
    <row r="50" spans="4:17" x14ac:dyDescent="0.3">
      <c r="D50" s="271" t="s">
        <v>307</v>
      </c>
    </row>
    <row r="51" spans="4:17" ht="16.5" x14ac:dyDescent="0.3">
      <c r="D51" s="147" t="s">
        <v>303</v>
      </c>
      <c r="E51" s="147" t="s">
        <v>118</v>
      </c>
      <c r="F51" s="147" t="s">
        <v>119</v>
      </c>
      <c r="G51" s="147" t="s">
        <v>120</v>
      </c>
      <c r="H51" s="147" t="s">
        <v>121</v>
      </c>
      <c r="I51" s="147" t="s">
        <v>122</v>
      </c>
      <c r="J51" s="147" t="s">
        <v>123</v>
      </c>
      <c r="K51" s="147" t="s">
        <v>124</v>
      </c>
      <c r="L51" s="147" t="s">
        <v>125</v>
      </c>
      <c r="M51" s="147" t="s">
        <v>126</v>
      </c>
      <c r="N51" s="147" t="s">
        <v>127</v>
      </c>
      <c r="O51" s="147" t="s">
        <v>116</v>
      </c>
      <c r="P51" s="147" t="s">
        <v>128</v>
      </c>
      <c r="Q51" s="148" t="s">
        <v>129</v>
      </c>
    </row>
    <row r="52" spans="4:17" ht="16.5" x14ac:dyDescent="0.3">
      <c r="D52" s="147" t="s">
        <v>349</v>
      </c>
      <c r="E52" s="328">
        <v>0</v>
      </c>
      <c r="F52" s="328">
        <v>427060</v>
      </c>
      <c r="G52" s="329">
        <v>640590</v>
      </c>
      <c r="H52" s="329">
        <v>854120</v>
      </c>
      <c r="I52" s="329">
        <v>1281180</v>
      </c>
      <c r="J52" s="329">
        <v>1708240</v>
      </c>
      <c r="K52" s="329">
        <v>2562360</v>
      </c>
      <c r="L52" s="329">
        <v>2775890</v>
      </c>
      <c r="M52" s="329">
        <v>2775890</v>
      </c>
      <c r="N52" s="329">
        <v>3202950</v>
      </c>
      <c r="O52" s="329">
        <v>5338250</v>
      </c>
      <c r="P52" s="329">
        <v>5338250</v>
      </c>
      <c r="Q52" s="329">
        <v>26904780</v>
      </c>
    </row>
    <row r="53" spans="4:17" ht="16.5" x14ac:dyDescent="0.3">
      <c r="D53" s="332" t="s">
        <v>350</v>
      </c>
      <c r="E53" s="333">
        <f>E32</f>
        <v>211710</v>
      </c>
      <c r="F53" s="333">
        <f t="shared" ref="F53:P53" si="15">F32</f>
        <v>1058550</v>
      </c>
      <c r="G53" s="334">
        <f t="shared" si="15"/>
        <v>1058550</v>
      </c>
      <c r="H53" s="334">
        <f t="shared" si="15"/>
        <v>1270260</v>
      </c>
      <c r="I53" s="334">
        <f t="shared" si="15"/>
        <v>1481970</v>
      </c>
      <c r="J53" s="334">
        <f t="shared" si="15"/>
        <v>1693680</v>
      </c>
      <c r="K53" s="334">
        <f t="shared" si="15"/>
        <v>1693680</v>
      </c>
      <c r="L53" s="334">
        <f t="shared" si="15"/>
        <v>1905390</v>
      </c>
      <c r="M53" s="334">
        <f t="shared" si="15"/>
        <v>1905390</v>
      </c>
      <c r="N53" s="334">
        <f t="shared" si="15"/>
        <v>2117100</v>
      </c>
      <c r="O53" s="334">
        <f t="shared" si="15"/>
        <v>4022490</v>
      </c>
      <c r="P53" s="334">
        <f t="shared" si="15"/>
        <v>4445910</v>
      </c>
      <c r="Q53" s="334">
        <f t="shared" ref="Q53" si="16">SUM(E53:P53)</f>
        <v>22864680</v>
      </c>
    </row>
    <row r="54" spans="4:17" ht="16.5" x14ac:dyDescent="0.3">
      <c r="D54" s="147" t="s">
        <v>304</v>
      </c>
      <c r="E54" s="330">
        <f t="shared" ref="E54:Q54" si="17">E53-E52</f>
        <v>211710</v>
      </c>
      <c r="F54" s="330">
        <f t="shared" si="17"/>
        <v>631490</v>
      </c>
      <c r="G54" s="313">
        <f t="shared" si="17"/>
        <v>417960</v>
      </c>
      <c r="H54" s="313">
        <f t="shared" si="17"/>
        <v>416140</v>
      </c>
      <c r="I54" s="313">
        <f t="shared" si="17"/>
        <v>200790</v>
      </c>
      <c r="J54" s="313">
        <f t="shared" si="17"/>
        <v>-14560</v>
      </c>
      <c r="K54" s="313">
        <f t="shared" si="17"/>
        <v>-868680</v>
      </c>
      <c r="L54" s="313">
        <f t="shared" si="17"/>
        <v>-870500</v>
      </c>
      <c r="M54" s="313">
        <f t="shared" si="17"/>
        <v>-870500</v>
      </c>
      <c r="N54" s="313">
        <f t="shared" si="17"/>
        <v>-1085850</v>
      </c>
      <c r="O54" s="313">
        <f t="shared" si="17"/>
        <v>-1315760</v>
      </c>
      <c r="P54" s="313">
        <f t="shared" si="17"/>
        <v>-892340</v>
      </c>
      <c r="Q54" s="331">
        <f t="shared" si="17"/>
        <v>-4040100</v>
      </c>
    </row>
    <row r="56" spans="4:17" ht="16.5" x14ac:dyDescent="0.3">
      <c r="D56" s="147" t="s">
        <v>305</v>
      </c>
      <c r="E56" s="147" t="s">
        <v>118</v>
      </c>
      <c r="F56" s="147" t="s">
        <v>119</v>
      </c>
      <c r="G56" s="147" t="s">
        <v>120</v>
      </c>
      <c r="H56" s="147" t="s">
        <v>121</v>
      </c>
      <c r="I56" s="147" t="s">
        <v>122</v>
      </c>
      <c r="J56" s="147" t="s">
        <v>123</v>
      </c>
      <c r="K56" s="147" t="s">
        <v>124</v>
      </c>
      <c r="L56" s="147" t="s">
        <v>125</v>
      </c>
      <c r="M56" s="147" t="s">
        <v>126</v>
      </c>
      <c r="N56" s="147" t="s">
        <v>127</v>
      </c>
      <c r="O56" s="147" t="s">
        <v>116</v>
      </c>
      <c r="P56" s="147" t="s">
        <v>128</v>
      </c>
      <c r="Q56" s="148" t="s">
        <v>129</v>
      </c>
    </row>
    <row r="57" spans="4:17" ht="16.5" x14ac:dyDescent="0.3">
      <c r="D57" s="147" t="s">
        <v>349</v>
      </c>
      <c r="E57" s="328">
        <v>0</v>
      </c>
      <c r="F57" s="328">
        <v>10000</v>
      </c>
      <c r="G57" s="329">
        <v>15000</v>
      </c>
      <c r="H57" s="329">
        <v>20000</v>
      </c>
      <c r="I57" s="329">
        <v>30000</v>
      </c>
      <c r="J57" s="329">
        <v>40000</v>
      </c>
      <c r="K57" s="329">
        <v>60000</v>
      </c>
      <c r="L57" s="329">
        <v>65000</v>
      </c>
      <c r="M57" s="329">
        <v>65000</v>
      </c>
      <c r="N57" s="329">
        <v>75000</v>
      </c>
      <c r="O57" s="329">
        <v>125000</v>
      </c>
      <c r="P57" s="329">
        <v>125000</v>
      </c>
      <c r="Q57" s="329">
        <v>630000</v>
      </c>
    </row>
    <row r="58" spans="4:17" ht="16.5" x14ac:dyDescent="0.3">
      <c r="D58" s="332" t="s">
        <v>350</v>
      </c>
      <c r="E58" s="333">
        <f>E33</f>
        <v>4997</v>
      </c>
      <c r="F58" s="333">
        <f t="shared" ref="F58:P58" si="18">F33</f>
        <v>24984</v>
      </c>
      <c r="G58" s="334">
        <f t="shared" si="18"/>
        <v>24984</v>
      </c>
      <c r="H58" s="334">
        <f t="shared" si="18"/>
        <v>29981</v>
      </c>
      <c r="I58" s="334">
        <f t="shared" si="18"/>
        <v>34978</v>
      </c>
      <c r="J58" s="334">
        <f t="shared" si="18"/>
        <v>39975</v>
      </c>
      <c r="K58" s="334">
        <f t="shared" si="18"/>
        <v>39975</v>
      </c>
      <c r="L58" s="334">
        <f t="shared" si="18"/>
        <v>44971</v>
      </c>
      <c r="M58" s="334">
        <f t="shared" si="18"/>
        <v>44971</v>
      </c>
      <c r="N58" s="334">
        <f t="shared" si="18"/>
        <v>49968</v>
      </c>
      <c r="O58" s="334">
        <f t="shared" si="18"/>
        <v>94939</v>
      </c>
      <c r="P58" s="334">
        <f t="shared" si="18"/>
        <v>104933</v>
      </c>
      <c r="Q58" s="334">
        <f t="shared" ref="Q58" si="19">SUM(E58:P58)</f>
        <v>539656</v>
      </c>
    </row>
    <row r="59" spans="4:17" ht="16.5" x14ac:dyDescent="0.3">
      <c r="D59" s="147" t="s">
        <v>304</v>
      </c>
      <c r="E59" s="330">
        <f t="shared" ref="E59:Q59" si="20">E58-E57</f>
        <v>4997</v>
      </c>
      <c r="F59" s="330">
        <f t="shared" si="20"/>
        <v>14984</v>
      </c>
      <c r="G59" s="313">
        <f t="shared" si="20"/>
        <v>9984</v>
      </c>
      <c r="H59" s="313">
        <f t="shared" si="20"/>
        <v>9981</v>
      </c>
      <c r="I59" s="313">
        <f t="shared" si="20"/>
        <v>4978</v>
      </c>
      <c r="J59" s="313">
        <f t="shared" si="20"/>
        <v>-25</v>
      </c>
      <c r="K59" s="313">
        <f t="shared" si="20"/>
        <v>-20025</v>
      </c>
      <c r="L59" s="313">
        <f t="shared" si="20"/>
        <v>-20029</v>
      </c>
      <c r="M59" s="313">
        <f t="shared" si="20"/>
        <v>-20029</v>
      </c>
      <c r="N59" s="313">
        <f t="shared" si="20"/>
        <v>-25032</v>
      </c>
      <c r="O59" s="313">
        <f t="shared" si="20"/>
        <v>-30061</v>
      </c>
      <c r="P59" s="313">
        <f t="shared" si="20"/>
        <v>-20067</v>
      </c>
      <c r="Q59" s="331">
        <f t="shared" si="20"/>
        <v>-90344</v>
      </c>
    </row>
  </sheetData>
  <mergeCells count="5">
    <mergeCell ref="A4:B4"/>
    <mergeCell ref="A20:A21"/>
    <mergeCell ref="A22:A23"/>
    <mergeCell ref="A24:A25"/>
    <mergeCell ref="A26:A28"/>
  </mergeCells>
  <phoneticPr fontId="1" type="noConversion"/>
  <conditionalFormatting sqref="T20 D40:S45">
    <cfRule type="containsText" dxfId="11" priority="18" operator="containsText" text="false">
      <formula>NOT(ISERROR(SEARCH("false",D20)))</formula>
    </cfRule>
  </conditionalFormatting>
  <conditionalFormatting sqref="D36:S37 D31:R35 R38:S39 D48:S48 R46:S47">
    <cfRule type="containsText" dxfId="10" priority="19" operator="containsText" text="false">
      <formula>NOT(ISERROR(SEARCH("false",D31)))</formula>
    </cfRule>
  </conditionalFormatting>
  <conditionalFormatting sqref="E32:R35">
    <cfRule type="expression" dxfId="9" priority="20">
      <formula>IF(E32-TRUNC(E32)&lt;&gt;0,TRUE,FALSE)</formula>
    </cfRule>
  </conditionalFormatting>
  <conditionalFormatting sqref="D56:Q56 D57:D59">
    <cfRule type="containsText" dxfId="8" priority="7" operator="containsText" text="false">
      <formula>NOT(ISERROR(SEARCH("false",D56)))</formula>
    </cfRule>
  </conditionalFormatting>
  <conditionalFormatting sqref="E59:Q59">
    <cfRule type="containsText" dxfId="7" priority="3" operator="containsText" text="false">
      <formula>NOT(ISERROR(SEARCH("false",E59)))</formula>
    </cfRule>
  </conditionalFormatting>
  <conditionalFormatting sqref="D46:Q47">
    <cfRule type="containsText" dxfId="6" priority="1" operator="containsText" text="false">
      <formula>NOT(ISERROR(SEARCH("false",D46)))</formula>
    </cfRule>
  </conditionalFormatting>
  <conditionalFormatting sqref="E59:Q59">
    <cfRule type="expression" dxfId="5" priority="4">
      <formula>IF(E59-TRUNC(E59)&lt;&gt;0,TRUE,FALSE)</formula>
    </cfRule>
  </conditionalFormatting>
  <conditionalFormatting sqref="E57:Q58">
    <cfRule type="containsText" dxfId="4" priority="5" operator="containsText" text="false">
      <formula>NOT(ISERROR(SEARCH("false",E57)))</formula>
    </cfRule>
  </conditionalFormatting>
  <conditionalFormatting sqref="D51:Q54">
    <cfRule type="containsText" dxfId="3" priority="8" operator="containsText" text="false">
      <formula>NOT(ISERROR(SEARCH("false",D51)))</formula>
    </cfRule>
  </conditionalFormatting>
  <conditionalFormatting sqref="E52:Q54">
    <cfRule type="expression" dxfId="2" priority="9">
      <formula>IF(E52-TRUNC(E52)&lt;&gt;0,TRUE,FALSE)</formula>
    </cfRule>
  </conditionalFormatting>
  <conditionalFormatting sqref="E57:Q58">
    <cfRule type="expression" dxfId="1" priority="6">
      <formula>IF(E57-TRUNC(E57)&lt;&gt;0,TRUE,FALSE)</formula>
    </cfRule>
  </conditionalFormatting>
  <conditionalFormatting sqref="D38:Q39">
    <cfRule type="containsText" dxfId="0" priority="2" operator="containsText" text="false">
      <formula>NOT(ISERROR(SEARCH("false",D38)))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2</vt:i4>
      </vt:variant>
    </vt:vector>
  </HeadingPairs>
  <TitlesOfParts>
    <vt:vector size="13" baseType="lpstr">
      <vt:lpstr>0. 사업계획</vt:lpstr>
      <vt:lpstr>1. 신규개발량_입력</vt:lpstr>
      <vt:lpstr>2. 월별 실적(2024년)</vt:lpstr>
      <vt:lpstr>3_1. 개발량 계획</vt:lpstr>
      <vt:lpstr>3_2. 개발량 실적</vt:lpstr>
      <vt:lpstr>영업용발췌(kpi관련)</vt:lpstr>
      <vt:lpstr>4_1. 공급전 계획</vt:lpstr>
      <vt:lpstr>4_2. 계약전 계획</vt:lpstr>
      <vt:lpstr>4_3. 일반용 판매량(2024년)</vt:lpstr>
      <vt:lpstr>5. 업무용 판매량(2025년)</vt:lpstr>
      <vt:lpstr>4_5. 산업용 판매량(2025년)</vt:lpstr>
      <vt:lpstr>계획데이터</vt:lpstr>
      <vt:lpstr>실적데이터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박민지</dc:creator>
  <cp:lastModifiedBy>user</cp:lastModifiedBy>
  <cp:lastPrinted>2023-06-26T06:36:47Z</cp:lastPrinted>
  <dcterms:created xsi:type="dcterms:W3CDTF">2020-02-06T00:29:24Z</dcterms:created>
  <dcterms:modified xsi:type="dcterms:W3CDTF">2025-01-23T07:28:49Z</dcterms:modified>
</cp:coreProperties>
</file>