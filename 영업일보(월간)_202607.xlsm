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Users\user\Desktop\0. 마케팅기획팀\2026\1.회의자료\1. 간부회의(영업활성화 실적)\2026년\202607\"/>
    </mc:Choice>
  </mc:AlternateContent>
  <xr:revisionPtr revIDLastSave="0" documentId="13_ncr:1_{FFD65C3A-AAFC-45A4-A989-18F8E381F4F5}" xr6:coauthVersionLast="47" xr6:coauthVersionMax="47" xr10:uidLastSave="{00000000-0000-0000-0000-000000000000}"/>
  <bookViews>
    <workbookView xWindow="-120" yWindow="-120" windowWidth="29040" windowHeight="15720" activeTab="1" xr2:uid="{40A7DB2B-6342-49D7-8BF8-BB4A647EB9F5}"/>
  </bookViews>
  <sheets>
    <sheet name="영업현황" sheetId="23" r:id="rId1"/>
    <sheet name="영업일보" sheetId="24" r:id="rId2"/>
    <sheet name="공급량" sheetId="14" r:id="rId3"/>
    <sheet name="영업일보 분석" sheetId="31" r:id="rId4"/>
    <sheet name="공급전 계획(2026년)" sheetId="25" r:id="rId5"/>
    <sheet name="계약전 계획(2026년)" sheetId="26" r:id="rId6"/>
    <sheet name="공급량 계획_MJ(2026년)" sheetId="11" r:id="rId7"/>
    <sheet name="공급량 계획_㎥(2024년)" sheetId="27" state="hidden" r:id="rId8"/>
    <sheet name="공동주택 계획(2026년)" sheetId="32" r:id="rId9"/>
    <sheet name="업무용 공급전 관리" sheetId="30" r:id="rId10"/>
    <sheet name="작성방법" sheetId="28" r:id="rId11"/>
    <sheet name="결재란" sheetId="29" r:id="rId12"/>
    <sheet name="월별실적증감" sheetId="33" r:id="rId13"/>
    <sheet name="월별공급전증감" sheetId="34" r:id="rId14"/>
    <sheet name="월별폐전증감" sheetId="35" r:id="rId15"/>
    <sheet name="월별용도변경" sheetId="36" r:id="rId16"/>
  </sheets>
  <externalReferences>
    <externalReference r:id="rId17"/>
  </externalReferences>
  <definedNames>
    <definedName name="_xlnm._FilterDatabase" localSheetId="9" hidden="1">'업무용 공급전 관리'!$A$2:$C$2</definedName>
    <definedName name="_xlnm._FilterDatabase" localSheetId="1" hidden="1">영업일보!$V$7:$X$14</definedName>
    <definedName name="_xlnm._FilterDatabase" localSheetId="3" hidden="1">'영업일보 분석'!$A$18:$F$18</definedName>
    <definedName name="_xlnm.Print_Area" localSheetId="1">영업일보!$A$1:$P$33</definedName>
    <definedName name="_xlnm.Print_Area" localSheetId="3">'영업일보 분석'!$A$1:$G$41</definedName>
    <definedName name="_xlnm.Print_Area" localSheetId="0">영업현황!$A$1:$J$32</definedName>
    <definedName name="계약전계획" localSheetId="5">'계약전 계획(2026년)'!$E$4:$R$12</definedName>
    <definedName name="계약전계획">'계약전 계획(2026년)'!$E$4:$R$12</definedName>
    <definedName name="공급량">공급량!$A$7:$W$37</definedName>
    <definedName name="공급전계획" localSheetId="4">'공급전 계획(2026년)'!$E$4:$R$28</definedName>
    <definedName name="공급전계획">'공급전 계획(2026년)'!$E$4:$R$28</definedName>
    <definedName name="판매량계획" localSheetId="6">'공급량 계획_MJ(2026년)'!$D$4:$Q$13</definedName>
    <definedName name="판매량계획">'공급량 계획_MJ(2026년)'!$D$4:$Q$13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1" i="23" l="1"/>
  <c r="H31" i="23"/>
  <c r="G31" i="23"/>
  <c r="F31" i="23"/>
  <c r="D31" i="23"/>
  <c r="C31" i="23"/>
  <c r="I30" i="23"/>
  <c r="H30" i="23"/>
  <c r="G30" i="23"/>
  <c r="F30" i="23"/>
  <c r="D30" i="23"/>
  <c r="C30" i="23"/>
  <c r="I27" i="23"/>
  <c r="H27" i="23"/>
  <c r="G27" i="23"/>
  <c r="F27" i="23"/>
  <c r="D27" i="23"/>
  <c r="C27" i="23"/>
  <c r="J22" i="23"/>
  <c r="I22" i="23"/>
  <c r="H22" i="23"/>
  <c r="G22" i="23"/>
  <c r="F22" i="23"/>
  <c r="E22" i="23"/>
  <c r="D22" i="23"/>
  <c r="C22" i="23"/>
  <c r="J21" i="23"/>
  <c r="I21" i="23"/>
  <c r="H21" i="23"/>
  <c r="G21" i="23"/>
  <c r="F21" i="23"/>
  <c r="E21" i="23"/>
  <c r="D21" i="23"/>
  <c r="C21" i="23"/>
  <c r="J20" i="23"/>
  <c r="I20" i="23"/>
  <c r="H20" i="23"/>
  <c r="G20" i="23"/>
  <c r="F20" i="23"/>
  <c r="E20" i="23"/>
  <c r="D20" i="23"/>
  <c r="C20" i="23"/>
  <c r="J19" i="23"/>
  <c r="I19" i="23"/>
  <c r="H19" i="23"/>
  <c r="G19" i="23"/>
  <c r="F19" i="23"/>
  <c r="E19" i="23"/>
  <c r="D19" i="23"/>
  <c r="C19" i="23"/>
  <c r="J17" i="23"/>
  <c r="I17" i="23"/>
  <c r="H17" i="23"/>
  <c r="G17" i="23"/>
  <c r="F17" i="23"/>
  <c r="E17" i="23"/>
  <c r="D17" i="23"/>
  <c r="C17" i="23"/>
  <c r="J16" i="23"/>
  <c r="I16" i="23"/>
  <c r="H16" i="23"/>
  <c r="G16" i="23"/>
  <c r="F16" i="23"/>
  <c r="E16" i="23"/>
  <c r="D16" i="23"/>
  <c r="C16" i="23"/>
  <c r="J15" i="23"/>
  <c r="I15" i="23"/>
  <c r="H15" i="23"/>
  <c r="G15" i="23"/>
  <c r="F15" i="23"/>
  <c r="E15" i="23"/>
  <c r="D15" i="23"/>
  <c r="C15" i="23"/>
  <c r="J11" i="23"/>
  <c r="I11" i="23"/>
  <c r="H11" i="23"/>
  <c r="G11" i="23"/>
  <c r="F11" i="23"/>
  <c r="E11" i="23"/>
  <c r="D11" i="23"/>
  <c r="C11" i="23"/>
  <c r="J10" i="23"/>
  <c r="I10" i="23"/>
  <c r="H10" i="23"/>
  <c r="G10" i="23"/>
  <c r="F10" i="23"/>
  <c r="E10" i="23"/>
  <c r="D10" i="23"/>
  <c r="C10" i="23"/>
  <c r="J9" i="23"/>
  <c r="I9" i="23"/>
  <c r="H9" i="23"/>
  <c r="G9" i="23"/>
  <c r="F9" i="23"/>
  <c r="E9" i="23"/>
  <c r="D9" i="23"/>
  <c r="C9" i="23"/>
  <c r="J8" i="23"/>
  <c r="I8" i="23"/>
  <c r="H8" i="23"/>
  <c r="G8" i="23"/>
  <c r="F8" i="23"/>
  <c r="E8" i="23"/>
  <c r="D8" i="23"/>
  <c r="C8" i="23"/>
  <c r="J7" i="23"/>
  <c r="I7" i="23"/>
  <c r="H7" i="23"/>
  <c r="G7" i="23"/>
  <c r="F7" i="23"/>
  <c r="E7" i="23"/>
  <c r="D7" i="23"/>
  <c r="C7" i="23"/>
  <c r="J6" i="23"/>
  <c r="I6" i="23"/>
  <c r="H6" i="23"/>
  <c r="G6" i="23"/>
  <c r="F6" i="23"/>
  <c r="E6" i="23"/>
  <c r="D6" i="23"/>
  <c r="C6" i="23"/>
  <c r="J5" i="23"/>
  <c r="I5" i="23"/>
  <c r="H5" i="23"/>
  <c r="G5" i="23"/>
  <c r="F5" i="23"/>
  <c r="E5" i="23"/>
  <c r="D5" i="23"/>
  <c r="C5" i="23"/>
  <c r="A2" i="23"/>
  <c r="G41" i="14" l="1"/>
  <c r="S35" i="14" l="1"/>
  <c r="S36" i="14"/>
  <c r="S37" i="14"/>
  <c r="K7" i="14" l="1"/>
  <c r="D7" i="14" l="1"/>
  <c r="E7" i="14"/>
  <c r="O7" i="14"/>
  <c r="S7" i="14"/>
  <c r="T7" i="14"/>
  <c r="U7" i="14" s="1"/>
  <c r="V7" i="14"/>
  <c r="Q6" i="11"/>
  <c r="N196" i="32"/>
  <c r="M196" i="32"/>
  <c r="L196" i="32"/>
  <c r="K196" i="32"/>
  <c r="J196" i="32"/>
  <c r="I196" i="32"/>
  <c r="H196" i="32"/>
  <c r="G196" i="32"/>
  <c r="F196" i="32"/>
  <c r="E196" i="32"/>
  <c r="D196" i="32"/>
  <c r="C196" i="32"/>
  <c r="O169" i="32"/>
  <c r="D140" i="32"/>
  <c r="E140" i="32" s="1"/>
  <c r="F140" i="32" s="1"/>
  <c r="G140" i="32" s="1"/>
  <c r="H140" i="32" s="1"/>
  <c r="I140" i="32" s="1"/>
  <c r="J140" i="32" s="1"/>
  <c r="K140" i="32" s="1"/>
  <c r="L140" i="32" s="1"/>
  <c r="M140" i="32" s="1"/>
  <c r="N140" i="32" s="1"/>
  <c r="O131" i="32"/>
  <c r="N131" i="32"/>
  <c r="M131" i="32"/>
  <c r="L131" i="32"/>
  <c r="K131" i="32"/>
  <c r="J131" i="32"/>
  <c r="I131" i="32"/>
  <c r="H131" i="32"/>
  <c r="G131" i="32"/>
  <c r="F131" i="32"/>
  <c r="E131" i="32"/>
  <c r="D131" i="32"/>
  <c r="C131" i="32"/>
  <c r="N124" i="32"/>
  <c r="M124" i="32"/>
  <c r="L124" i="32"/>
  <c r="K124" i="32"/>
  <c r="J124" i="32"/>
  <c r="I124" i="32"/>
  <c r="H124" i="32"/>
  <c r="G124" i="32"/>
  <c r="F124" i="32"/>
  <c r="E124" i="32"/>
  <c r="D124" i="32"/>
  <c r="C124" i="32"/>
  <c r="O97" i="32"/>
  <c r="D68" i="32"/>
  <c r="E68" i="32" s="1"/>
  <c r="F68" i="32" s="1"/>
  <c r="G68" i="32" s="1"/>
  <c r="H68" i="32" s="1"/>
  <c r="I68" i="32" s="1"/>
  <c r="J68" i="32" s="1"/>
  <c r="K68" i="32" s="1"/>
  <c r="L68" i="32" s="1"/>
  <c r="M68" i="32" s="1"/>
  <c r="N68" i="32" s="1"/>
  <c r="N61" i="32"/>
  <c r="M61" i="32"/>
  <c r="L61" i="32"/>
  <c r="K61" i="32"/>
  <c r="J61" i="32"/>
  <c r="I61" i="32"/>
  <c r="H61" i="32"/>
  <c r="G61" i="32"/>
  <c r="F61" i="32"/>
  <c r="E61" i="32"/>
  <c r="D61" i="32"/>
  <c r="C61" i="32"/>
  <c r="O34" i="32"/>
  <c r="D5" i="32"/>
  <c r="E5" i="32" s="1"/>
  <c r="F5" i="32" s="1"/>
  <c r="G5" i="32" s="1"/>
  <c r="H5" i="32" s="1"/>
  <c r="I5" i="32" s="1"/>
  <c r="J5" i="32" s="1"/>
  <c r="K5" i="32" s="1"/>
  <c r="L5" i="32" s="1"/>
  <c r="M5" i="32" s="1"/>
  <c r="N5" i="32" s="1"/>
  <c r="W7" i="14" l="1"/>
  <c r="O124" i="32"/>
  <c r="O196" i="32"/>
  <c r="O61" i="32"/>
  <c r="J6" i="11" l="1"/>
  <c r="R41" i="14" l="1"/>
  <c r="T5" i="24" l="1"/>
  <c r="C41" i="14"/>
  <c r="A1" i="14" l="1"/>
  <c r="Q27" i="27" l="1"/>
  <c r="J27" i="27"/>
  <c r="R27" i="27" s="1"/>
  <c r="Q26" i="27"/>
  <c r="J26" i="27"/>
  <c r="R26" i="27" s="1"/>
  <c r="D10" i="27"/>
  <c r="E10" i="27" s="1"/>
  <c r="F10" i="27" s="1"/>
  <c r="G10" i="27" s="1"/>
  <c r="H10" i="27" s="1"/>
  <c r="I10" i="27" s="1"/>
  <c r="J10" i="27" s="1"/>
  <c r="K10" i="27" s="1"/>
  <c r="L10" i="27" s="1"/>
  <c r="M10" i="27" s="1"/>
  <c r="N10" i="27" s="1"/>
  <c r="O10" i="27" s="1"/>
  <c r="P10" i="27" s="1"/>
  <c r="Q10" i="27" s="1"/>
  <c r="R10" i="27" s="1"/>
  <c r="Q9" i="27"/>
  <c r="J9" i="27"/>
  <c r="Q6" i="27"/>
  <c r="Q5" i="27"/>
  <c r="J5" i="27"/>
  <c r="R5" i="27" s="1"/>
  <c r="Q27" i="11"/>
  <c r="J27" i="11"/>
  <c r="R27" i="11" s="1"/>
  <c r="Q26" i="11"/>
  <c r="J26" i="11"/>
  <c r="Q20" i="11"/>
  <c r="J20" i="11"/>
  <c r="Q19" i="11"/>
  <c r="J19" i="11"/>
  <c r="R19" i="11" s="1"/>
  <c r="D10" i="11"/>
  <c r="E10" i="11" s="1"/>
  <c r="F10" i="11" s="1"/>
  <c r="G10" i="11" s="1"/>
  <c r="H10" i="11" s="1"/>
  <c r="I10" i="11" s="1"/>
  <c r="J10" i="11" s="1"/>
  <c r="K10" i="11" s="1"/>
  <c r="L10" i="11" s="1"/>
  <c r="M10" i="11" s="1"/>
  <c r="N10" i="11" s="1"/>
  <c r="O10" i="11" s="1"/>
  <c r="P10" i="11" s="1"/>
  <c r="Q10" i="11" s="1"/>
  <c r="R10" i="11" s="1"/>
  <c r="Q9" i="11"/>
  <c r="J9" i="11"/>
  <c r="Q5" i="11"/>
  <c r="R5" i="11" s="1"/>
  <c r="J5" i="11"/>
  <c r="Q17" i="26"/>
  <c r="Q5" i="26" s="1"/>
  <c r="Q10" i="26" s="1"/>
  <c r="Q11" i="26" s="1"/>
  <c r="P17" i="26"/>
  <c r="P5" i="26" s="1"/>
  <c r="P10" i="26" s="1"/>
  <c r="P11" i="26" s="1"/>
  <c r="O17" i="26"/>
  <c r="O5" i="26" s="1"/>
  <c r="O10" i="26" s="1"/>
  <c r="O11" i="26" s="1"/>
  <c r="N17" i="26"/>
  <c r="M17" i="26"/>
  <c r="M5" i="26" s="1"/>
  <c r="M10" i="26" s="1"/>
  <c r="M11" i="26" s="1"/>
  <c r="L17" i="26"/>
  <c r="L5" i="26" s="1"/>
  <c r="J17" i="26"/>
  <c r="J5" i="26" s="1"/>
  <c r="J10" i="26" s="1"/>
  <c r="J11" i="26" s="1"/>
  <c r="I17" i="26"/>
  <c r="I5" i="26" s="1"/>
  <c r="I10" i="26" s="1"/>
  <c r="I11" i="26" s="1"/>
  <c r="H17" i="26"/>
  <c r="H5" i="26" s="1"/>
  <c r="H10" i="26" s="1"/>
  <c r="H11" i="26" s="1"/>
  <c r="G17" i="26"/>
  <c r="G5" i="26" s="1"/>
  <c r="G10" i="26" s="1"/>
  <c r="G11" i="26" s="1"/>
  <c r="F17" i="26"/>
  <c r="F5" i="26" s="1"/>
  <c r="F10" i="26" s="1"/>
  <c r="F11" i="26" s="1"/>
  <c r="E17" i="26"/>
  <c r="E5" i="26" s="1"/>
  <c r="D17" i="26"/>
  <c r="D5" i="26" s="1"/>
  <c r="R16" i="26"/>
  <c r="R15" i="26"/>
  <c r="S15" i="26"/>
  <c r="T15" i="26" s="1"/>
  <c r="R9" i="26"/>
  <c r="S9" i="26" s="1"/>
  <c r="T9" i="26" s="1"/>
  <c r="K9" i="26"/>
  <c r="R8" i="26"/>
  <c r="K8" i="26"/>
  <c r="R7" i="26"/>
  <c r="K7" i="26"/>
  <c r="R6" i="26"/>
  <c r="K6" i="26"/>
  <c r="N5" i="26"/>
  <c r="N10" i="26" s="1"/>
  <c r="N11" i="26" s="1"/>
  <c r="E28" i="25"/>
  <c r="F28" i="25" s="1"/>
  <c r="G28" i="25" s="1"/>
  <c r="H28" i="25" s="1"/>
  <c r="I28" i="25" s="1"/>
  <c r="J28" i="25" s="1"/>
  <c r="L28" i="25" s="1"/>
  <c r="M28" i="25" s="1"/>
  <c r="N28" i="25" s="1"/>
  <c r="O28" i="25" s="1"/>
  <c r="P28" i="25" s="1"/>
  <c r="Q28" i="25" s="1"/>
  <c r="E27" i="25"/>
  <c r="F27" i="25" s="1"/>
  <c r="G27" i="25" s="1"/>
  <c r="H27" i="25" s="1"/>
  <c r="I27" i="25" s="1"/>
  <c r="J27" i="25" s="1"/>
  <c r="L27" i="25" s="1"/>
  <c r="M27" i="25" s="1"/>
  <c r="N27" i="25" s="1"/>
  <c r="O27" i="25" s="1"/>
  <c r="P27" i="25" s="1"/>
  <c r="Q27" i="25" s="1"/>
  <c r="E26" i="25"/>
  <c r="F26" i="25" s="1"/>
  <c r="G26" i="25" s="1"/>
  <c r="H26" i="25" s="1"/>
  <c r="I26" i="25" s="1"/>
  <c r="J26" i="25" s="1"/>
  <c r="L26" i="25" s="1"/>
  <c r="M26" i="25" s="1"/>
  <c r="N26" i="25" s="1"/>
  <c r="O26" i="25" s="1"/>
  <c r="P26" i="25" s="1"/>
  <c r="Q26" i="25" s="1"/>
  <c r="E25" i="25"/>
  <c r="F25" i="25" s="1"/>
  <c r="G25" i="25" s="1"/>
  <c r="H25" i="25" s="1"/>
  <c r="I25" i="25" s="1"/>
  <c r="J25" i="25" s="1"/>
  <c r="L25" i="25" s="1"/>
  <c r="M25" i="25" s="1"/>
  <c r="N25" i="25" s="1"/>
  <c r="O25" i="25" s="1"/>
  <c r="P25" i="25" s="1"/>
  <c r="Q25" i="25" s="1"/>
  <c r="E24" i="25"/>
  <c r="F24" i="25" s="1"/>
  <c r="G24" i="25" s="1"/>
  <c r="H24" i="25" s="1"/>
  <c r="I24" i="25" s="1"/>
  <c r="J24" i="25" s="1"/>
  <c r="L24" i="25" s="1"/>
  <c r="M24" i="25" s="1"/>
  <c r="N24" i="25" s="1"/>
  <c r="O24" i="25" s="1"/>
  <c r="P24" i="25" s="1"/>
  <c r="Q24" i="25" s="1"/>
  <c r="E23" i="25"/>
  <c r="F23" i="25" s="1"/>
  <c r="G23" i="25" s="1"/>
  <c r="H23" i="25" s="1"/>
  <c r="I23" i="25" s="1"/>
  <c r="J23" i="25" s="1"/>
  <c r="L23" i="25" s="1"/>
  <c r="M23" i="25" s="1"/>
  <c r="N23" i="25" s="1"/>
  <c r="O23" i="25" s="1"/>
  <c r="P23" i="25" s="1"/>
  <c r="Q23" i="25" s="1"/>
  <c r="Q21" i="25"/>
  <c r="Q5" i="25" s="1"/>
  <c r="Q10" i="25" s="1"/>
  <c r="Q11" i="25" s="1"/>
  <c r="P21" i="25"/>
  <c r="P5" i="25" s="1"/>
  <c r="P10" i="25" s="1"/>
  <c r="P11" i="25" s="1"/>
  <c r="O21" i="25"/>
  <c r="O5" i="25" s="1"/>
  <c r="O10" i="25" s="1"/>
  <c r="O11" i="25" s="1"/>
  <c r="N21" i="25"/>
  <c r="N5" i="25" s="1"/>
  <c r="N10" i="25" s="1"/>
  <c r="N11" i="25" s="1"/>
  <c r="M21" i="25"/>
  <c r="M5" i="25" s="1"/>
  <c r="M10" i="25" s="1"/>
  <c r="M11" i="25" s="1"/>
  <c r="L21" i="25"/>
  <c r="L5" i="25" s="1"/>
  <c r="L10" i="25" s="1"/>
  <c r="J21" i="25"/>
  <c r="J5" i="25" s="1"/>
  <c r="J10" i="25" s="1"/>
  <c r="J11" i="25" s="1"/>
  <c r="I21" i="25"/>
  <c r="I5" i="25" s="1"/>
  <c r="I10" i="25" s="1"/>
  <c r="I11" i="25" s="1"/>
  <c r="H21" i="25"/>
  <c r="H5" i="25" s="1"/>
  <c r="H10" i="25" s="1"/>
  <c r="H11" i="25" s="1"/>
  <c r="G21" i="25"/>
  <c r="G5" i="25" s="1"/>
  <c r="G10" i="25" s="1"/>
  <c r="G11" i="25" s="1"/>
  <c r="F21" i="25"/>
  <c r="F5" i="25" s="1"/>
  <c r="F10" i="25" s="1"/>
  <c r="F11" i="25" s="1"/>
  <c r="E21" i="25"/>
  <c r="E5" i="25" s="1"/>
  <c r="D21" i="25"/>
  <c r="D5" i="25" s="1"/>
  <c r="D10" i="25" s="1"/>
  <c r="R20" i="25"/>
  <c r="K20" i="25"/>
  <c r="R19" i="25"/>
  <c r="K19" i="25"/>
  <c r="E15" i="25"/>
  <c r="F15" i="25" s="1"/>
  <c r="R14" i="25"/>
  <c r="S14" i="25" s="1"/>
  <c r="K14" i="25"/>
  <c r="R9" i="25"/>
  <c r="K9" i="25"/>
  <c r="R8" i="25"/>
  <c r="K8" i="25"/>
  <c r="R7" i="25"/>
  <c r="K7" i="25"/>
  <c r="R6" i="25"/>
  <c r="K6" i="25"/>
  <c r="S7" i="26" l="1"/>
  <c r="T7" i="26" s="1"/>
  <c r="R20" i="11"/>
  <c r="R26" i="11"/>
  <c r="S6" i="26"/>
  <c r="T6" i="26" s="1"/>
  <c r="R17" i="26"/>
  <c r="S7" i="25"/>
  <c r="T7" i="25" s="1"/>
  <c r="S20" i="25"/>
  <c r="T20" i="25" s="1"/>
  <c r="S8" i="25"/>
  <c r="T8" i="25" s="1"/>
  <c r="R9" i="27"/>
  <c r="S8" i="26"/>
  <c r="T8" i="26" s="1"/>
  <c r="S16" i="26"/>
  <c r="T16" i="26" s="1"/>
  <c r="K17" i="26"/>
  <c r="R9" i="11"/>
  <c r="S19" i="25"/>
  <c r="T19" i="25" s="1"/>
  <c r="R21" i="25"/>
  <c r="K5" i="25"/>
  <c r="E10" i="25"/>
  <c r="D12" i="11" s="1"/>
  <c r="K21" i="25"/>
  <c r="S9" i="25"/>
  <c r="T9" i="25" s="1"/>
  <c r="S6" i="25"/>
  <c r="T6" i="25" s="1"/>
  <c r="Q20" i="27"/>
  <c r="Q19" i="27"/>
  <c r="J19" i="27"/>
  <c r="J20" i="27"/>
  <c r="S17" i="26"/>
  <c r="T17" i="26" s="1"/>
  <c r="D10" i="26"/>
  <c r="L10" i="26"/>
  <c r="R5" i="26"/>
  <c r="K5" i="26"/>
  <c r="E10" i="26"/>
  <c r="D12" i="25"/>
  <c r="D11" i="25"/>
  <c r="L11" i="25"/>
  <c r="R10" i="25"/>
  <c r="G15" i="25"/>
  <c r="R5" i="25"/>
  <c r="R26" i="25" l="1"/>
  <c r="T21" i="25"/>
  <c r="R27" i="25"/>
  <c r="D12" i="27"/>
  <c r="S21" i="25"/>
  <c r="J9" i="24"/>
  <c r="S5" i="26"/>
  <c r="T5" i="26" s="1"/>
  <c r="S5" i="25"/>
  <c r="R24" i="25" s="1"/>
  <c r="E12" i="25"/>
  <c r="R25" i="25"/>
  <c r="E11" i="25"/>
  <c r="E13" i="25"/>
  <c r="K10" i="25"/>
  <c r="S10" i="25" s="1"/>
  <c r="G16" i="25" s="1"/>
  <c r="R28" i="25"/>
  <c r="R20" i="27"/>
  <c r="R19" i="27"/>
  <c r="K10" i="26"/>
  <c r="E11" i="26"/>
  <c r="E12" i="26"/>
  <c r="F12" i="26" s="1"/>
  <c r="G12" i="26" s="1"/>
  <c r="H12" i="26" s="1"/>
  <c r="I12" i="26" s="1"/>
  <c r="J12" i="26" s="1"/>
  <c r="K12" i="26" s="1"/>
  <c r="L12" i="26" s="1"/>
  <c r="M12" i="26" s="1"/>
  <c r="N12" i="26" s="1"/>
  <c r="O12" i="26" s="1"/>
  <c r="P12" i="26" s="1"/>
  <c r="Q12" i="26" s="1"/>
  <c r="R12" i="26" s="1"/>
  <c r="S12" i="26" s="1"/>
  <c r="R10" i="26"/>
  <c r="R11" i="26" s="1"/>
  <c r="L11" i="26"/>
  <c r="D11" i="26"/>
  <c r="R11" i="25"/>
  <c r="H15" i="25"/>
  <c r="T5" i="25" l="1"/>
  <c r="T10" i="25" s="1"/>
  <c r="T11" i="25" s="1"/>
  <c r="F12" i="25"/>
  <c r="E12" i="11"/>
  <c r="K11" i="25"/>
  <c r="F13" i="25"/>
  <c r="E17" i="25"/>
  <c r="K11" i="26"/>
  <c r="S10" i="26"/>
  <c r="E16" i="25"/>
  <c r="S11" i="25"/>
  <c r="F16" i="25"/>
  <c r="I15" i="25"/>
  <c r="H16" i="25"/>
  <c r="R45" i="14"/>
  <c r="N45" i="14"/>
  <c r="G45" i="14"/>
  <c r="E12" i="27" l="1"/>
  <c r="E13" i="27" s="1"/>
  <c r="E13" i="11"/>
  <c r="G12" i="25"/>
  <c r="F12" i="11"/>
  <c r="G13" i="25"/>
  <c r="F17" i="25"/>
  <c r="S11" i="26"/>
  <c r="T10" i="26"/>
  <c r="J15" i="25"/>
  <c r="I16" i="25"/>
  <c r="F12" i="27" l="1"/>
  <c r="F13" i="27" s="1"/>
  <c r="F13" i="11"/>
  <c r="H12" i="25"/>
  <c r="G12" i="11"/>
  <c r="H13" i="25"/>
  <c r="G17" i="25"/>
  <c r="T12" i="26"/>
  <c r="T11" i="26"/>
  <c r="J16" i="25"/>
  <c r="K15" i="25"/>
  <c r="L16" i="23"/>
  <c r="L5" i="23"/>
  <c r="L17" i="23" s="1"/>
  <c r="L22" i="23"/>
  <c r="L7" i="23"/>
  <c r="G12" i="27" l="1"/>
  <c r="G13" i="27" s="1"/>
  <c r="G13" i="11"/>
  <c r="I12" i="25"/>
  <c r="H12" i="11"/>
  <c r="I13" i="25"/>
  <c r="H17" i="25"/>
  <c r="L15" i="25"/>
  <c r="K16" i="25"/>
  <c r="L6" i="23"/>
  <c r="L11" i="23"/>
  <c r="H12" i="27" l="1"/>
  <c r="H13" i="27" s="1"/>
  <c r="H13" i="11"/>
  <c r="J12" i="25"/>
  <c r="K12" i="25" s="1"/>
  <c r="I12" i="11"/>
  <c r="J13" i="25"/>
  <c r="I17" i="25"/>
  <c r="L16" i="25"/>
  <c r="M15" i="25"/>
  <c r="I12" i="27" l="1"/>
  <c r="I13" i="27" s="1"/>
  <c r="I13" i="11"/>
  <c r="L12" i="25"/>
  <c r="K12" i="11"/>
  <c r="K13" i="25"/>
  <c r="L13" i="25" s="1"/>
  <c r="J17" i="25"/>
  <c r="M16" i="25"/>
  <c r="N15" i="25"/>
  <c r="K12" i="27" l="1"/>
  <c r="K13" i="27" s="1"/>
  <c r="K13" i="11"/>
  <c r="M12" i="25"/>
  <c r="L12" i="11"/>
  <c r="M13" i="25"/>
  <c r="L17" i="25"/>
  <c r="O15" i="25"/>
  <c r="N16" i="25"/>
  <c r="L12" i="27" l="1"/>
  <c r="L13" i="27" s="1"/>
  <c r="L13" i="11"/>
  <c r="N12" i="25"/>
  <c r="M12" i="11"/>
  <c r="N13" i="25"/>
  <c r="M17" i="25"/>
  <c r="P15" i="25"/>
  <c r="O16" i="25"/>
  <c r="D8" i="14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M12" i="27" l="1"/>
  <c r="M13" i="27" s="1"/>
  <c r="M13" i="11"/>
  <c r="O12" i="25"/>
  <c r="N12" i="11"/>
  <c r="O13" i="25"/>
  <c r="N17" i="25"/>
  <c r="Q15" i="25"/>
  <c r="P16" i="25"/>
  <c r="L10" i="23"/>
  <c r="N12" i="27" l="1"/>
  <c r="N13" i="27" s="1"/>
  <c r="N13" i="11"/>
  <c r="P12" i="25"/>
  <c r="O12" i="11"/>
  <c r="P13" i="25"/>
  <c r="O17" i="25"/>
  <c r="R15" i="25"/>
  <c r="Q16" i="25"/>
  <c r="O12" i="27" l="1"/>
  <c r="O13" i="27" s="1"/>
  <c r="O13" i="11"/>
  <c r="Q12" i="25"/>
  <c r="R12" i="25" s="1"/>
  <c r="S12" i="25" s="1"/>
  <c r="T12" i="25" s="1"/>
  <c r="P12" i="11"/>
  <c r="Q13" i="25"/>
  <c r="P17" i="25"/>
  <c r="R16" i="25"/>
  <c r="S15" i="25"/>
  <c r="S16" i="25" s="1"/>
  <c r="P32" i="30"/>
  <c r="O32" i="30"/>
  <c r="N32" i="30"/>
  <c r="M32" i="30"/>
  <c r="L32" i="30"/>
  <c r="K32" i="30"/>
  <c r="I32" i="30"/>
  <c r="H32" i="30"/>
  <c r="G32" i="30"/>
  <c r="F32" i="30"/>
  <c r="E32" i="30"/>
  <c r="D32" i="30"/>
  <c r="Q31" i="30"/>
  <c r="R31" i="30" s="1"/>
  <c r="J31" i="30"/>
  <c r="Q30" i="30"/>
  <c r="J30" i="30"/>
  <c r="Q29" i="30"/>
  <c r="J29" i="30"/>
  <c r="Q28" i="30"/>
  <c r="J28" i="30"/>
  <c r="Q27" i="30"/>
  <c r="J27" i="30"/>
  <c r="P24" i="30"/>
  <c r="O24" i="30"/>
  <c r="N24" i="30"/>
  <c r="M24" i="30"/>
  <c r="L24" i="30"/>
  <c r="K24" i="30"/>
  <c r="I24" i="30"/>
  <c r="H24" i="30"/>
  <c r="G24" i="30"/>
  <c r="F24" i="30"/>
  <c r="E24" i="30"/>
  <c r="D24" i="30"/>
  <c r="Q23" i="30"/>
  <c r="J23" i="30"/>
  <c r="Q22" i="30"/>
  <c r="J22" i="30"/>
  <c r="Q21" i="30"/>
  <c r="R21" i="30" s="1"/>
  <c r="J21" i="30"/>
  <c r="Q20" i="30"/>
  <c r="J20" i="30"/>
  <c r="Q19" i="30"/>
  <c r="R19" i="30" s="1"/>
  <c r="J19" i="30"/>
  <c r="P16" i="30"/>
  <c r="O16" i="30"/>
  <c r="N16" i="30"/>
  <c r="M16" i="30"/>
  <c r="L16" i="30"/>
  <c r="K16" i="30"/>
  <c r="I16" i="30"/>
  <c r="H16" i="30"/>
  <c r="G16" i="30"/>
  <c r="F16" i="30"/>
  <c r="E16" i="30"/>
  <c r="D16" i="30"/>
  <c r="Q15" i="30"/>
  <c r="J15" i="30"/>
  <c r="Q14" i="30"/>
  <c r="J14" i="30"/>
  <c r="Q13" i="30"/>
  <c r="R13" i="30" s="1"/>
  <c r="J13" i="30"/>
  <c r="Q12" i="30"/>
  <c r="J12" i="30"/>
  <c r="Q11" i="30"/>
  <c r="J11" i="30"/>
  <c r="P7" i="30"/>
  <c r="O7" i="30"/>
  <c r="N7" i="30"/>
  <c r="M7" i="30"/>
  <c r="L7" i="30"/>
  <c r="K7" i="30"/>
  <c r="I7" i="30"/>
  <c r="H7" i="30"/>
  <c r="G7" i="30"/>
  <c r="F7" i="30"/>
  <c r="E7" i="30"/>
  <c r="D7" i="30"/>
  <c r="P6" i="30"/>
  <c r="O6" i="30"/>
  <c r="N6" i="30"/>
  <c r="M6" i="30"/>
  <c r="L6" i="30"/>
  <c r="K6" i="30"/>
  <c r="I6" i="30"/>
  <c r="H6" i="30"/>
  <c r="G6" i="30"/>
  <c r="F6" i="30"/>
  <c r="E6" i="30"/>
  <c r="D6" i="30"/>
  <c r="P5" i="30"/>
  <c r="O5" i="30"/>
  <c r="N5" i="30"/>
  <c r="M5" i="30"/>
  <c r="L5" i="30"/>
  <c r="K5" i="30"/>
  <c r="I5" i="30"/>
  <c r="H5" i="30"/>
  <c r="G5" i="30"/>
  <c r="F5" i="30"/>
  <c r="E5" i="30"/>
  <c r="D5" i="30"/>
  <c r="J5" i="30" s="1"/>
  <c r="P4" i="30"/>
  <c r="O4" i="30"/>
  <c r="N4" i="30"/>
  <c r="M4" i="30"/>
  <c r="L4" i="30"/>
  <c r="K4" i="30"/>
  <c r="Q4" i="30" s="1"/>
  <c r="I4" i="30"/>
  <c r="H4" i="30"/>
  <c r="G4" i="30"/>
  <c r="F4" i="30"/>
  <c r="E4" i="30"/>
  <c r="D4" i="30"/>
  <c r="P3" i="30"/>
  <c r="P8" i="30" s="1"/>
  <c r="O3" i="30"/>
  <c r="N3" i="30"/>
  <c r="M3" i="30"/>
  <c r="L3" i="30"/>
  <c r="K3" i="30"/>
  <c r="I3" i="30"/>
  <c r="H3" i="30"/>
  <c r="G3" i="30"/>
  <c r="G8" i="30" s="1"/>
  <c r="F3" i="30"/>
  <c r="E3" i="30"/>
  <c r="E8" i="30" s="1"/>
  <c r="D3" i="30"/>
  <c r="I42" i="14"/>
  <c r="R47" i="14"/>
  <c r="G47" i="14"/>
  <c r="C43" i="14"/>
  <c r="S34" i="14"/>
  <c r="S33" i="14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V8" i="14"/>
  <c r="V9" i="14" s="1"/>
  <c r="V10" i="14" s="1"/>
  <c r="V11" i="14" s="1"/>
  <c r="V12" i="14" s="1"/>
  <c r="V13" i="14" s="1"/>
  <c r="V14" i="14" s="1"/>
  <c r="V15" i="14" s="1"/>
  <c r="V16" i="14" s="1"/>
  <c r="V17" i="14" s="1"/>
  <c r="V18" i="14" s="1"/>
  <c r="V19" i="14" s="1"/>
  <c r="V20" i="14" s="1"/>
  <c r="V21" i="14" s="1"/>
  <c r="V22" i="14" s="1"/>
  <c r="V23" i="14" s="1"/>
  <c r="V24" i="14" s="1"/>
  <c r="V25" i="14" s="1"/>
  <c r="V26" i="14" s="1"/>
  <c r="V27" i="14" s="1"/>
  <c r="V28" i="14" s="1"/>
  <c r="V29" i="14" s="1"/>
  <c r="V30" i="14" s="1"/>
  <c r="V31" i="14" s="1"/>
  <c r="V32" i="14" s="1"/>
  <c r="V33" i="14" s="1"/>
  <c r="V34" i="14" s="1"/>
  <c r="V35" i="14" s="1"/>
  <c r="V36" i="14" s="1"/>
  <c r="V37" i="14" s="1"/>
  <c r="T8" i="14"/>
  <c r="T9" i="14" s="1"/>
  <c r="T10" i="14" s="1"/>
  <c r="T11" i="14" s="1"/>
  <c r="T12" i="14" s="1"/>
  <c r="T13" i="14" s="1"/>
  <c r="T14" i="14" s="1"/>
  <c r="T15" i="14" s="1"/>
  <c r="T16" i="14" s="1"/>
  <c r="T17" i="14" s="1"/>
  <c r="T18" i="14" s="1"/>
  <c r="T19" i="14" s="1"/>
  <c r="T20" i="14" s="1"/>
  <c r="T21" i="14" s="1"/>
  <c r="T22" i="14" s="1"/>
  <c r="T23" i="14" s="1"/>
  <c r="T24" i="14" s="1"/>
  <c r="T25" i="14" s="1"/>
  <c r="T26" i="14" s="1"/>
  <c r="T27" i="14" s="1"/>
  <c r="T28" i="14" s="1"/>
  <c r="T29" i="14" s="1"/>
  <c r="T30" i="14" s="1"/>
  <c r="T31" i="14" s="1"/>
  <c r="T32" i="14" s="1"/>
  <c r="T33" i="14" s="1"/>
  <c r="T34" i="14" s="1"/>
  <c r="T35" i="14" s="1"/>
  <c r="T36" i="14" s="1"/>
  <c r="T37" i="14" s="1"/>
  <c r="E8" i="14"/>
  <c r="E9" i="14" s="1"/>
  <c r="E10" i="14" s="1"/>
  <c r="E11" i="14" s="1"/>
  <c r="E12" i="14" s="1"/>
  <c r="E13" i="14" s="1"/>
  <c r="E14" i="14" s="1"/>
  <c r="E15" i="14" s="1"/>
  <c r="E16" i="14" s="1"/>
  <c r="E17" i="14" s="1"/>
  <c r="E18" i="14" s="1"/>
  <c r="E19" i="14" s="1"/>
  <c r="E20" i="14" s="1"/>
  <c r="E21" i="14" s="1"/>
  <c r="E22" i="14" s="1"/>
  <c r="E23" i="14" s="1"/>
  <c r="E24" i="14" s="1"/>
  <c r="E25" i="14" s="1"/>
  <c r="E26" i="14" s="1"/>
  <c r="E27" i="14" s="1"/>
  <c r="E28" i="14" s="1"/>
  <c r="E29" i="14" s="1"/>
  <c r="E30" i="14" s="1"/>
  <c r="E31" i="14" s="1"/>
  <c r="E32" i="14" s="1"/>
  <c r="E33" i="14" s="1"/>
  <c r="E34" i="14" s="1"/>
  <c r="E35" i="14" s="1"/>
  <c r="E36" i="14" s="1"/>
  <c r="Y4" i="14"/>
  <c r="Z3" i="14" s="1"/>
  <c r="B37" i="14"/>
  <c r="J3" i="24"/>
  <c r="H3" i="24"/>
  <c r="F3" i="24"/>
  <c r="Q16" i="30" l="1"/>
  <c r="J16" i="30"/>
  <c r="Q5" i="30"/>
  <c r="Q7" i="30"/>
  <c r="R29" i="30"/>
  <c r="D8" i="30"/>
  <c r="M8" i="30"/>
  <c r="R12" i="30"/>
  <c r="V14" i="24"/>
  <c r="V9" i="24"/>
  <c r="V13" i="24"/>
  <c r="V11" i="24"/>
  <c r="V12" i="24"/>
  <c r="V10" i="24"/>
  <c r="P12" i="27"/>
  <c r="P13" i="27" s="1"/>
  <c r="P13" i="11"/>
  <c r="R13" i="25"/>
  <c r="S13" i="25" s="1"/>
  <c r="Q17" i="25"/>
  <c r="G22" i="24"/>
  <c r="D14" i="24"/>
  <c r="W14" i="24" s="1"/>
  <c r="R5" i="30"/>
  <c r="N8" i="30"/>
  <c r="J32" i="30"/>
  <c r="F8" i="30"/>
  <c r="O8" i="30"/>
  <c r="J7" i="30"/>
  <c r="R11" i="30"/>
  <c r="R14" i="30"/>
  <c r="R22" i="30"/>
  <c r="Q32" i="30"/>
  <c r="H8" i="30"/>
  <c r="J4" i="30"/>
  <c r="R4" i="30" s="1"/>
  <c r="Q6" i="30"/>
  <c r="R15" i="30"/>
  <c r="R23" i="30"/>
  <c r="R28" i="30"/>
  <c r="I8" i="30"/>
  <c r="K8" i="30"/>
  <c r="J6" i="30"/>
  <c r="Q24" i="30"/>
  <c r="L8" i="30"/>
  <c r="J24" i="30"/>
  <c r="R30" i="30"/>
  <c r="R7" i="30"/>
  <c r="J12" i="24"/>
  <c r="Q3" i="30"/>
  <c r="R20" i="30"/>
  <c r="J3" i="30"/>
  <c r="B11" i="14"/>
  <c r="B19" i="14"/>
  <c r="B27" i="14"/>
  <c r="B12" i="14"/>
  <c r="B20" i="14"/>
  <c r="B28" i="14"/>
  <c r="B25" i="14"/>
  <c r="B18" i="14"/>
  <c r="B35" i="14"/>
  <c r="B13" i="14"/>
  <c r="B21" i="14"/>
  <c r="B29" i="14"/>
  <c r="B14" i="14"/>
  <c r="B30" i="14"/>
  <c r="B15" i="14"/>
  <c r="B31" i="14"/>
  <c r="B10" i="14"/>
  <c r="B36" i="14"/>
  <c r="B22" i="14"/>
  <c r="B23" i="14"/>
  <c r="B33" i="14"/>
  <c r="B26" i="14"/>
  <c r="B8" i="14"/>
  <c r="B16" i="14"/>
  <c r="B24" i="14"/>
  <c r="B32" i="14"/>
  <c r="B9" i="14"/>
  <c r="B17" i="14"/>
  <c r="B34" i="14"/>
  <c r="R27" i="30"/>
  <c r="K8" i="14"/>
  <c r="Y8" i="14"/>
  <c r="Y10" i="14"/>
  <c r="D10" i="24"/>
  <c r="B6" i="31" s="1"/>
  <c r="D11" i="24"/>
  <c r="B8" i="31" s="1"/>
  <c r="D13" i="24"/>
  <c r="B10" i="31" s="1"/>
  <c r="Y12" i="14"/>
  <c r="D9" i="24"/>
  <c r="B5" i="31" s="1"/>
  <c r="Y37" i="14"/>
  <c r="O8" i="14"/>
  <c r="G43" i="14"/>
  <c r="R43" i="14"/>
  <c r="C47" i="14"/>
  <c r="Y9" i="14"/>
  <c r="Y11" i="14"/>
  <c r="Y15" i="14"/>
  <c r="Y17" i="14"/>
  <c r="Y21" i="14"/>
  <c r="Y25" i="14"/>
  <c r="Y27" i="14"/>
  <c r="Y31" i="14"/>
  <c r="Y35" i="14"/>
  <c r="D12" i="24"/>
  <c r="B9" i="31" s="1"/>
  <c r="D33" i="24"/>
  <c r="Y3" i="14"/>
  <c r="AA3" i="14" s="1"/>
  <c r="Y7" i="14"/>
  <c r="Y13" i="14"/>
  <c r="Y19" i="14"/>
  <c r="Y23" i="14"/>
  <c r="Y29" i="14"/>
  <c r="Y33" i="14"/>
  <c r="Y22" i="14"/>
  <c r="Y14" i="14"/>
  <c r="Y16" i="14"/>
  <c r="Y18" i="14"/>
  <c r="Y20" i="14"/>
  <c r="Y24" i="14"/>
  <c r="Y26" i="14"/>
  <c r="Y28" i="14"/>
  <c r="Y30" i="14"/>
  <c r="Y32" i="14"/>
  <c r="Y34" i="14"/>
  <c r="Y36" i="14"/>
  <c r="B7" i="14"/>
  <c r="V33" i="24"/>
  <c r="J14" i="24"/>
  <c r="J13" i="24"/>
  <c r="J11" i="24"/>
  <c r="J10" i="24"/>
  <c r="J8" i="30" l="1"/>
  <c r="R24" i="30"/>
  <c r="V8" i="24"/>
  <c r="B11" i="31"/>
  <c r="R32" i="30"/>
  <c r="X14" i="24"/>
  <c r="R6" i="30"/>
  <c r="R16" i="30"/>
  <c r="B7" i="31"/>
  <c r="Q8" i="30"/>
  <c r="R3" i="30"/>
  <c r="W12" i="24"/>
  <c r="X12" i="24" s="1"/>
  <c r="W13" i="24"/>
  <c r="X13" i="24" s="1"/>
  <c r="W11" i="24"/>
  <c r="X11" i="24" s="1"/>
  <c r="W10" i="24"/>
  <c r="X10" i="24" s="1"/>
  <c r="W9" i="24"/>
  <c r="X9" i="24" s="1"/>
  <c r="U8" i="14"/>
  <c r="K9" i="14"/>
  <c r="D8" i="24"/>
  <c r="W8" i="14"/>
  <c r="O9" i="14"/>
  <c r="H33" i="24"/>
  <c r="J8" i="24"/>
  <c r="G23" i="24" l="1"/>
  <c r="B4" i="31"/>
  <c r="R8" i="30"/>
  <c r="W8" i="24"/>
  <c r="X8" i="24" s="1"/>
  <c r="K10" i="14"/>
  <c r="U9" i="14"/>
  <c r="W9" i="14"/>
  <c r="O10" i="14"/>
  <c r="U10" i="14" l="1"/>
  <c r="K11" i="14"/>
  <c r="W10" i="14"/>
  <c r="O11" i="14"/>
  <c r="U11" i="14" l="1"/>
  <c r="K12" i="14"/>
  <c r="O12" i="14"/>
  <c r="W11" i="14"/>
  <c r="K13" i="14" l="1"/>
  <c r="U12" i="14"/>
  <c r="O13" i="14"/>
  <c r="W12" i="14"/>
  <c r="U13" i="14" l="1"/>
  <c r="K14" i="14"/>
  <c r="W13" i="14"/>
  <c r="O14" i="14"/>
  <c r="U14" i="14" l="1"/>
  <c r="K15" i="14"/>
  <c r="W14" i="14"/>
  <c r="O15" i="14"/>
  <c r="U15" i="14" l="1"/>
  <c r="K16" i="14"/>
  <c r="O16" i="14"/>
  <c r="W15" i="14"/>
  <c r="K17" i="14" l="1"/>
  <c r="U16" i="14"/>
  <c r="W16" i="14"/>
  <c r="O17" i="14"/>
  <c r="U17" i="14" l="1"/>
  <c r="K18" i="14"/>
  <c r="W17" i="14"/>
  <c r="O18" i="14"/>
  <c r="U18" i="14" l="1"/>
  <c r="K19" i="14"/>
  <c r="O19" i="14"/>
  <c r="W18" i="14"/>
  <c r="U19" i="14" l="1"/>
  <c r="K20" i="14"/>
  <c r="W19" i="14"/>
  <c r="O20" i="14"/>
  <c r="U20" i="14" l="1"/>
  <c r="K21" i="14"/>
  <c r="W20" i="14"/>
  <c r="O21" i="14"/>
  <c r="U21" i="14" l="1"/>
  <c r="K22" i="14"/>
  <c r="W21" i="14"/>
  <c r="O22" i="14"/>
  <c r="U22" i="14" l="1"/>
  <c r="K23" i="14"/>
  <c r="W22" i="14"/>
  <c r="O23" i="14"/>
  <c r="U23" i="14" l="1"/>
  <c r="K24" i="14"/>
  <c r="O24" i="14"/>
  <c r="W23" i="14"/>
  <c r="U24" i="14" l="1"/>
  <c r="K25" i="14"/>
  <c r="W24" i="14"/>
  <c r="O25" i="14"/>
  <c r="U25" i="14" l="1"/>
  <c r="K26" i="14"/>
  <c r="W25" i="14"/>
  <c r="O26" i="14"/>
  <c r="U26" i="14" l="1"/>
  <c r="K27" i="14"/>
  <c r="O27" i="14"/>
  <c r="W26" i="14"/>
  <c r="U27" i="14" l="1"/>
  <c r="K28" i="14"/>
  <c r="W27" i="14"/>
  <c r="O28" i="14"/>
  <c r="K29" i="14" l="1"/>
  <c r="U28" i="14"/>
  <c r="W28" i="14"/>
  <c r="O29" i="14"/>
  <c r="U29" i="14" l="1"/>
  <c r="K30" i="14"/>
  <c r="W29" i="14"/>
  <c r="O30" i="14"/>
  <c r="U30" i="14" l="1"/>
  <c r="K31" i="14"/>
  <c r="W30" i="14"/>
  <c r="O31" i="14"/>
  <c r="U31" i="14" l="1"/>
  <c r="K32" i="14"/>
  <c r="O32" i="14"/>
  <c r="W31" i="14"/>
  <c r="U32" i="14" l="1"/>
  <c r="K33" i="14"/>
  <c r="W32" i="14"/>
  <c r="O33" i="14"/>
  <c r="U33" i="14" l="1"/>
  <c r="K34" i="14"/>
  <c r="W33" i="14"/>
  <c r="O34" i="14"/>
  <c r="O35" i="14" s="1"/>
  <c r="W35" i="14" s="1"/>
  <c r="O36" i="14" l="1"/>
  <c r="U34" i="14"/>
  <c r="K35" i="14"/>
  <c r="U35" i="14" s="1"/>
  <c r="W34" i="14"/>
  <c r="O37" i="14" l="1"/>
  <c r="W37" i="14" s="1"/>
  <c r="W36" i="14"/>
  <c r="K36" i="14"/>
  <c r="G20" i="24"/>
  <c r="K37" i="14" l="1"/>
  <c r="U37" i="14" s="1"/>
  <c r="U36" i="14"/>
  <c r="G18" i="24"/>
  <c r="G19" i="24" s="1"/>
  <c r="J22" i="24" l="1"/>
  <c r="K22" i="24"/>
  <c r="J23" i="24"/>
  <c r="G21" i="24"/>
  <c r="K23" i="24"/>
  <c r="R6" i="11"/>
  <c r="D20" i="24" s="1"/>
  <c r="D18" i="24"/>
  <c r="K18" i="24" s="1"/>
  <c r="F5" i="14"/>
  <c r="D13" i="11"/>
  <c r="M19" i="24"/>
  <c r="D7" i="27"/>
  <c r="E7" i="27" s="1"/>
  <c r="F7" i="27" s="1"/>
  <c r="G7" i="27" s="1"/>
  <c r="H7" i="27" s="1"/>
  <c r="I7" i="27" s="1"/>
  <c r="K7" i="27" s="1"/>
  <c r="L7" i="27" s="1"/>
  <c r="M7" i="27" s="1"/>
  <c r="N7" i="27" s="1"/>
  <c r="O7" i="27" s="1"/>
  <c r="P7" i="27" s="1"/>
  <c r="J6" i="27"/>
  <c r="R6" i="27" s="1"/>
  <c r="D7" i="11"/>
  <c r="E7" i="11" s="1"/>
  <c r="F7" i="11" s="1"/>
  <c r="G7" i="11" s="1"/>
  <c r="H7" i="11" s="1"/>
  <c r="I7" i="11" s="1"/>
  <c r="K7" i="11" s="1"/>
  <c r="L7" i="11" s="1"/>
  <c r="M7" i="11" s="1"/>
  <c r="N7" i="11" s="1"/>
  <c r="O7" i="11" s="1"/>
  <c r="P7" i="11" s="1"/>
  <c r="F16" i="14" l="1"/>
  <c r="F24" i="14"/>
  <c r="F32" i="14"/>
  <c r="F18" i="14"/>
  <c r="F34" i="14"/>
  <c r="F11" i="14"/>
  <c r="F27" i="14"/>
  <c r="F20" i="14"/>
  <c r="F36" i="14"/>
  <c r="F21" i="14"/>
  <c r="F29" i="14"/>
  <c r="F14" i="14"/>
  <c r="F8" i="14"/>
  <c r="F23" i="14"/>
  <c r="F9" i="14"/>
  <c r="F17" i="14"/>
  <c r="F25" i="14"/>
  <c r="F33" i="14"/>
  <c r="F10" i="14"/>
  <c r="F26" i="14"/>
  <c r="F19" i="14"/>
  <c r="F35" i="14"/>
  <c r="F12" i="14"/>
  <c r="F28" i="14"/>
  <c r="F13" i="14"/>
  <c r="F37" i="14"/>
  <c r="F22" i="14"/>
  <c r="F30" i="14"/>
  <c r="F15" i="14"/>
  <c r="F31" i="14"/>
  <c r="I37" i="14"/>
  <c r="J18" i="24"/>
  <c r="J20" i="24"/>
  <c r="K20" i="24"/>
  <c r="D13" i="27"/>
  <c r="Y5" i="14"/>
  <c r="F7" i="14" s="1"/>
  <c r="J7" i="14" l="1"/>
  <c r="J8" i="14" s="1"/>
  <c r="N7" i="14"/>
  <c r="N8" i="14" s="1"/>
  <c r="N9" i="14" s="1"/>
  <c r="I7" i="14"/>
  <c r="I11" i="14"/>
  <c r="I17" i="14"/>
  <c r="I13" i="14"/>
  <c r="I24" i="14"/>
  <c r="I25" i="14"/>
  <c r="I9" i="14"/>
  <c r="I10" i="14"/>
  <c r="I8" i="14"/>
  <c r="I31" i="14"/>
  <c r="I15" i="14"/>
  <c r="I20" i="14"/>
  <c r="I35" i="14"/>
  <c r="I16" i="14"/>
  <c r="I28" i="14"/>
  <c r="I26" i="14"/>
  <c r="I21" i="14"/>
  <c r="I19" i="14"/>
  <c r="I29" i="14"/>
  <c r="I33" i="14"/>
  <c r="I18" i="14"/>
  <c r="I14" i="14"/>
  <c r="I23" i="14"/>
  <c r="I32" i="14"/>
  <c r="I12" i="14"/>
  <c r="I30" i="14"/>
  <c r="I36" i="14"/>
  <c r="I22" i="14"/>
  <c r="I27" i="14"/>
  <c r="I34" i="14"/>
  <c r="Q7" i="14" l="1"/>
  <c r="P7" i="14"/>
  <c r="L7" i="14"/>
  <c r="M7" i="14"/>
  <c r="Q9" i="14"/>
  <c r="P9" i="14"/>
  <c r="N10" i="14"/>
  <c r="L8" i="14"/>
  <c r="M8" i="14"/>
  <c r="J9" i="14"/>
  <c r="Q8" i="14"/>
  <c r="P8" i="14"/>
  <c r="L9" i="14" l="1"/>
  <c r="M9" i="14"/>
  <c r="J10" i="14"/>
  <c r="Q10" i="14"/>
  <c r="P10" i="14"/>
  <c r="N11" i="14"/>
  <c r="L10" i="14" l="1"/>
  <c r="M10" i="14"/>
  <c r="J11" i="14"/>
  <c r="P11" i="14"/>
  <c r="Q11" i="14"/>
  <c r="N12" i="14"/>
  <c r="P12" i="14" l="1"/>
  <c r="Q12" i="14"/>
  <c r="N13" i="14"/>
  <c r="M11" i="14"/>
  <c r="L11" i="14"/>
  <c r="J12" i="14"/>
  <c r="L12" i="14" l="1"/>
  <c r="M12" i="14"/>
  <c r="J13" i="14"/>
  <c r="Q13" i="14"/>
  <c r="P13" i="14"/>
  <c r="N14" i="14"/>
  <c r="Q14" i="14" l="1"/>
  <c r="P14" i="14"/>
  <c r="N15" i="14"/>
  <c r="M13" i="14"/>
  <c r="L13" i="14"/>
  <c r="J14" i="14"/>
  <c r="M14" i="14" l="1"/>
  <c r="L14" i="14"/>
  <c r="J15" i="14"/>
  <c r="Q15" i="14"/>
  <c r="P15" i="14"/>
  <c r="N16" i="14"/>
  <c r="P16" i="14" l="1"/>
  <c r="Q16" i="14"/>
  <c r="N17" i="14"/>
  <c r="L15" i="14"/>
  <c r="M15" i="14"/>
  <c r="J16" i="14"/>
  <c r="M16" i="14" l="1"/>
  <c r="L16" i="14"/>
  <c r="J17" i="14"/>
  <c r="P17" i="14"/>
  <c r="Q17" i="14"/>
  <c r="N18" i="14"/>
  <c r="P18" i="14" l="1"/>
  <c r="Q18" i="14"/>
  <c r="N19" i="14"/>
  <c r="M17" i="14"/>
  <c r="L17" i="14"/>
  <c r="J18" i="14"/>
  <c r="L18" i="14" l="1"/>
  <c r="M18" i="14"/>
  <c r="J19" i="14"/>
  <c r="Q19" i="14"/>
  <c r="P19" i="14"/>
  <c r="N20" i="14"/>
  <c r="Q20" i="14" l="1"/>
  <c r="P20" i="14"/>
  <c r="N21" i="14"/>
  <c r="L19" i="14"/>
  <c r="M19" i="14"/>
  <c r="J20" i="14"/>
  <c r="M20" i="14" l="1"/>
  <c r="L20" i="14"/>
  <c r="J21" i="14"/>
  <c r="Q21" i="14"/>
  <c r="P21" i="14"/>
  <c r="N22" i="14"/>
  <c r="P22" i="14" l="1"/>
  <c r="Q22" i="14"/>
  <c r="N23" i="14"/>
  <c r="L21" i="14"/>
  <c r="M21" i="14"/>
  <c r="J22" i="14"/>
  <c r="M22" i="14" l="1"/>
  <c r="L22" i="14"/>
  <c r="J23" i="14"/>
  <c r="Q23" i="14"/>
  <c r="P23" i="14"/>
  <c r="N24" i="14"/>
  <c r="P24" i="14" l="1"/>
  <c r="Q24" i="14"/>
  <c r="N25" i="14"/>
  <c r="M23" i="14"/>
  <c r="L23" i="14"/>
  <c r="J24" i="14"/>
  <c r="M24" i="14" l="1"/>
  <c r="L24" i="14"/>
  <c r="J25" i="14"/>
  <c r="P25" i="14"/>
  <c r="Q25" i="14"/>
  <c r="N26" i="14"/>
  <c r="Q26" i="14" l="1"/>
  <c r="P26" i="14"/>
  <c r="N27" i="14"/>
  <c r="L25" i="14"/>
  <c r="M25" i="14"/>
  <c r="J26" i="14"/>
  <c r="P27" i="14" l="1"/>
  <c r="Q27" i="14"/>
  <c r="N28" i="14"/>
  <c r="M26" i="14"/>
  <c r="L26" i="14"/>
  <c r="J27" i="14"/>
  <c r="M27" i="14" l="1"/>
  <c r="L27" i="14"/>
  <c r="J28" i="14"/>
  <c r="P28" i="14"/>
  <c r="Q28" i="14"/>
  <c r="N29" i="14"/>
  <c r="Q29" i="14" l="1"/>
  <c r="P29" i="14"/>
  <c r="N30" i="14"/>
  <c r="L28" i="14"/>
  <c r="M28" i="14"/>
  <c r="J29" i="14"/>
  <c r="M29" i="14" l="1"/>
  <c r="L29" i="14"/>
  <c r="J30" i="14"/>
  <c r="Q30" i="14"/>
  <c r="P30" i="14"/>
  <c r="N31" i="14"/>
  <c r="P31" i="14" l="1"/>
  <c r="Q31" i="14"/>
  <c r="N32" i="14"/>
  <c r="L30" i="14"/>
  <c r="M30" i="14"/>
  <c r="J31" i="14"/>
  <c r="L31" i="14" l="1"/>
  <c r="M31" i="14"/>
  <c r="J32" i="14"/>
  <c r="P32" i="14"/>
  <c r="Q32" i="14"/>
  <c r="N33" i="14"/>
  <c r="Q33" i="14" l="1"/>
  <c r="P33" i="14"/>
  <c r="N34" i="14"/>
  <c r="L32" i="14"/>
  <c r="M32" i="14"/>
  <c r="J33" i="14"/>
  <c r="N35" i="14" l="1"/>
  <c r="N36" i="14" s="1"/>
  <c r="N41" i="14" s="1"/>
  <c r="L33" i="14"/>
  <c r="M33" i="14"/>
  <c r="J34" i="14"/>
  <c r="J35" i="14" s="1"/>
  <c r="J36" i="14" s="1"/>
  <c r="J37" i="14" s="1"/>
  <c r="Q34" i="14"/>
  <c r="P34" i="14"/>
  <c r="N37" i="14" l="1"/>
  <c r="M37" i="14"/>
  <c r="L37" i="14"/>
  <c r="P37" i="14"/>
  <c r="Q37" i="14"/>
  <c r="Q35" i="14"/>
  <c r="P35" i="14"/>
  <c r="M34" i="14"/>
  <c r="L34" i="14"/>
  <c r="M35" i="14" l="1"/>
  <c r="L35" i="14"/>
  <c r="Q36" i="14"/>
  <c r="P36" i="14"/>
  <c r="M36" i="14" l="1"/>
  <c r="L36" i="14"/>
  <c r="N43" i="14"/>
  <c r="K21" i="24"/>
  <c r="D21" i="24"/>
  <c r="J21" i="24" s="1"/>
  <c r="D19" i="24" l="1"/>
  <c r="K19" i="24" l="1"/>
  <c r="J19" i="24"/>
  <c r="E27" i="23" l="1"/>
  <c r="J27" i="23" s="1"/>
  <c r="L33" i="24" l="1"/>
  <c r="M33" i="24" s="1"/>
  <c r="E28" i="24"/>
  <c r="E33" i="24" l="1"/>
  <c r="N28" i="24"/>
  <c r="R28" i="24" s="1"/>
  <c r="I28" i="24"/>
  <c r="I33" i="24" l="1"/>
  <c r="G33" i="24"/>
  <c r="N33" i="24"/>
  <c r="R33" i="24" s="1"/>
  <c r="K33" i="24" l="1"/>
  <c r="J33" i="24"/>
  <c r="F11" i="24" l="1"/>
  <c r="F13" i="24"/>
  <c r="F10" i="24"/>
  <c r="F12" i="24"/>
  <c r="F14" i="24"/>
  <c r="L14" i="24" l="1"/>
  <c r="E11" i="31"/>
  <c r="L13" i="24"/>
  <c r="E10" i="31"/>
  <c r="L10" i="24"/>
  <c r="E6" i="31"/>
  <c r="F9" i="24"/>
  <c r="E9" i="31"/>
  <c r="L12" i="24"/>
  <c r="L11" i="24"/>
  <c r="E8" i="31"/>
  <c r="E5" i="31" l="1"/>
  <c r="F8" i="24"/>
  <c r="L35" i="24" s="1"/>
  <c r="L9" i="24"/>
  <c r="L8" i="24" s="1"/>
  <c r="M35" i="24" s="1"/>
  <c r="E7" i="31" l="1"/>
  <c r="E4" i="31"/>
  <c r="M20" i="23"/>
  <c r="G32" i="23" l="1"/>
  <c r="G26" i="23" s="1"/>
  <c r="D32" i="23"/>
  <c r="I32" i="23"/>
  <c r="F32" i="23"/>
  <c r="H32" i="23"/>
  <c r="H26" i="23" s="1"/>
  <c r="E30" i="23"/>
  <c r="J30" i="23" s="1"/>
  <c r="E11" i="24"/>
  <c r="E10" i="24"/>
  <c r="E9" i="24"/>
  <c r="E14" i="24"/>
  <c r="I14" i="24" s="1"/>
  <c r="G10" i="24" l="1"/>
  <c r="O10" i="24" s="1"/>
  <c r="D26" i="23"/>
  <c r="K14" i="24"/>
  <c r="M14" i="24" s="1"/>
  <c r="H14" i="24"/>
  <c r="C11" i="31"/>
  <c r="D11" i="31" s="1"/>
  <c r="E31" i="23"/>
  <c r="J31" i="23" s="1"/>
  <c r="J32" i="23" s="1"/>
  <c r="J26" i="23" s="1"/>
  <c r="M26" i="23" s="1"/>
  <c r="C32" i="23"/>
  <c r="G11" i="24"/>
  <c r="O11" i="24" s="1"/>
  <c r="F26" i="23"/>
  <c r="I11" i="24"/>
  <c r="H11" i="24"/>
  <c r="K11" i="24"/>
  <c r="C8" i="31"/>
  <c r="D8" i="31" s="1"/>
  <c r="G13" i="24"/>
  <c r="E13" i="24"/>
  <c r="K9" i="24"/>
  <c r="C5" i="31"/>
  <c r="I9" i="24"/>
  <c r="H9" i="24"/>
  <c r="G12" i="24"/>
  <c r="E12" i="24"/>
  <c r="K10" i="24"/>
  <c r="H10" i="24"/>
  <c r="I10" i="24"/>
  <c r="C6" i="31"/>
  <c r="D6" i="31" s="1"/>
  <c r="G14" i="24"/>
  <c r="I26" i="23"/>
  <c r="E8" i="24" l="1"/>
  <c r="C4" i="31" s="1"/>
  <c r="D4" i="31" s="1"/>
  <c r="AA14" i="24"/>
  <c r="F11" i="31"/>
  <c r="M11" i="24"/>
  <c r="N11" i="24"/>
  <c r="D5" i="31"/>
  <c r="C7" i="31"/>
  <c r="D7" i="31" s="1"/>
  <c r="O14" i="24"/>
  <c r="H8" i="24"/>
  <c r="N9" i="24"/>
  <c r="M9" i="24"/>
  <c r="N10" i="24"/>
  <c r="M10" i="24"/>
  <c r="K12" i="24"/>
  <c r="I12" i="24"/>
  <c r="C9" i="31"/>
  <c r="D9" i="31" s="1"/>
  <c r="O12" i="24"/>
  <c r="H12" i="24"/>
  <c r="C10" i="31"/>
  <c r="D10" i="31" s="1"/>
  <c r="H13" i="24"/>
  <c r="O13" i="24"/>
  <c r="I13" i="24"/>
  <c r="K13" i="24"/>
  <c r="F8" i="31"/>
  <c r="AA11" i="24"/>
  <c r="AA12" i="24"/>
  <c r="F9" i="31"/>
  <c r="F10" i="31"/>
  <c r="AA13" i="24"/>
  <c r="G9" i="24"/>
  <c r="E32" i="23"/>
  <c r="E26" i="23" s="1"/>
  <c r="C26" i="23"/>
  <c r="F6" i="31"/>
  <c r="AA10" i="24"/>
  <c r="I8" i="24" l="1"/>
  <c r="K8" i="24"/>
  <c r="M8" i="24" s="1"/>
  <c r="N13" i="24"/>
  <c r="M13" i="24"/>
  <c r="F5" i="31"/>
  <c r="AA9" i="24"/>
  <c r="G8" i="24"/>
  <c r="AA8" i="24" s="1"/>
  <c r="O9" i="24"/>
  <c r="O8" i="24" s="1"/>
  <c r="N12" i="24"/>
  <c r="M12" i="24"/>
  <c r="N8" i="24" l="1"/>
  <c r="O19" i="24"/>
  <c r="R8" i="24"/>
  <c r="F7" i="31"/>
  <c r="F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A5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계약전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공급계약이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집계</t>
        </r>
      </text>
    </comment>
    <comment ref="A11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시설전</t>
        </r>
        <r>
          <rPr>
            <sz val="9"/>
            <color indexed="81"/>
            <rFont val="Tahoma"/>
            <family val="2"/>
          </rPr>
          <t xml:space="preserve">:
 - </t>
        </r>
        <r>
          <rPr>
            <sz val="9"/>
            <color indexed="81"/>
            <rFont val="돋움"/>
            <family val="3"/>
            <charset val="129"/>
          </rPr>
          <t>안전검사가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사용계약은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이루어지지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않음</t>
        </r>
      </text>
    </comment>
    <comment ref="A17" authorId="0" shapeId="0" xr:uid="{00000000-0006-0000-0000-000003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:
 - </t>
        </r>
        <r>
          <rPr>
            <sz val="9"/>
            <color indexed="81"/>
            <rFont val="돋움"/>
            <family val="3"/>
            <charset val="129"/>
          </rPr>
          <t>계약이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전수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사용계약을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건수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  <author>user</author>
  </authors>
  <commentList>
    <comment ref="I8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수식
</t>
        </r>
        <r>
          <rPr>
            <sz val="9"/>
            <color indexed="81"/>
            <rFont val="Tahoma"/>
            <family val="2"/>
          </rPr>
          <t xml:space="preserve"> =E9/(D9/(EOMONTH(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!$A$2,0)-EOMONTH(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!$A$2,-1))*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>!$J$4)</t>
        </r>
      </text>
    </comment>
    <comment ref="W8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수식
</t>
        </r>
        <r>
          <rPr>
            <sz val="9"/>
            <color indexed="81"/>
            <rFont val="Tahoma"/>
            <family val="2"/>
          </rPr>
          <t xml:space="preserve"> =D9/(EOMONTH(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!$A$2,0)-EOMONTH(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!$A$2,-1))*$J$4</t>
        </r>
      </text>
    </comment>
    <comment ref="K13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12, 4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누계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+1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N14" authorId="1" shapeId="0" xr:uid="{00000000-0006-0000-0100-000004000000}">
      <text>
        <r>
          <rPr>
            <sz val="9"/>
            <color indexed="81"/>
            <rFont val="Tahoma"/>
            <family val="2"/>
          </rPr>
          <t xml:space="preserve">22.02.04 </t>
        </r>
        <r>
          <rPr>
            <sz val="9"/>
            <color indexed="81"/>
            <rFont val="돋움"/>
            <family val="3"/>
            <charset val="129"/>
          </rPr>
          <t>김태균</t>
        </r>
        <r>
          <rPr>
            <sz val="9"/>
            <color indexed="81"/>
            <rFont val="Tahoma"/>
            <family val="2"/>
          </rPr>
          <t xml:space="preserve"> :
</t>
        </r>
        <r>
          <rPr>
            <sz val="9"/>
            <color indexed="81"/>
            <rFont val="돋움"/>
            <family val="3"/>
            <charset val="129"/>
          </rPr>
          <t>분모값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박민지</author>
    <author>이재원</author>
  </authors>
  <commentList>
    <comment ref="Y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=EOMONTH(Y4,0)</t>
        </r>
      </text>
    </comment>
    <comment ref="Z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=EOMONTH(Y4,-1)</t>
        </r>
      </text>
    </comment>
    <comment ref="F5" authorId="1" shapeId="0" xr:uid="{00000000-0006-0000-0200-000003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(200603)
 - </t>
        </r>
        <r>
          <rPr>
            <sz val="9"/>
            <color indexed="81"/>
            <rFont val="돋움"/>
            <family val="3"/>
            <charset val="129"/>
          </rPr>
          <t>매월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확인
</t>
        </r>
        <r>
          <rPr>
            <sz val="9"/>
            <color indexed="81"/>
            <rFont val="Tahoma"/>
            <family val="2"/>
          </rPr>
          <t xml:space="preserve"> - (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계획</t>
        </r>
        <r>
          <rPr>
            <sz val="9"/>
            <color indexed="81"/>
            <rFont val="Tahoma"/>
            <family val="2"/>
          </rPr>
          <t>_MJ sheet)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공급량일일보고서에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가감할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소수점</t>
        </r>
        <r>
          <rPr>
            <sz val="9"/>
            <color indexed="81"/>
            <rFont val="Tahoma"/>
            <family val="2"/>
          </rPr>
          <t>)</t>
        </r>
      </text>
    </comment>
    <comment ref="A6" authorId="0" shapeId="0" xr:uid="{00000000-0006-0000-0200-000004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값복사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돋움"/>
            <family val="3"/>
            <charset val="129"/>
          </rPr>
          <t>행에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붙여넣기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C7" authorId="2" shapeId="0" xr:uid="{00000000-0006-0000-0200-000005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수급량
</t>
        </r>
        <r>
          <rPr>
            <sz val="9"/>
            <color indexed="81"/>
            <rFont val="Tahoma"/>
            <family val="2"/>
          </rPr>
          <t xml:space="preserve"> 1) </t>
        </r>
        <r>
          <rPr>
            <sz val="9"/>
            <color indexed="81"/>
            <rFont val="돋움"/>
            <family val="3"/>
            <charset val="129"/>
          </rPr>
          <t>고객지원시스템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수급량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재고량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재고량정보</t>
        </r>
        <r>
          <rPr>
            <sz val="9"/>
            <color indexed="81"/>
            <rFont val="Tahoma"/>
            <family val="2"/>
          </rPr>
          <t xml:space="preserve"> tab
 2) </t>
        </r>
        <r>
          <rPr>
            <sz val="9"/>
            <color indexed="81"/>
            <rFont val="돋움"/>
            <family val="3"/>
            <charset val="129"/>
          </rPr>
          <t>산출일자</t>
        </r>
        <r>
          <rPr>
            <sz val="9"/>
            <color indexed="81"/>
            <rFont val="Tahoma"/>
            <family val="2"/>
          </rPr>
          <t>: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~ </t>
        </r>
        <r>
          <rPr>
            <sz val="9"/>
            <color indexed="81"/>
            <rFont val="돋움"/>
            <family val="3"/>
            <charset val="129"/>
          </rPr>
          <t xml:space="preserve">말일
</t>
        </r>
        <r>
          <rPr>
            <sz val="9"/>
            <color indexed="81"/>
            <rFont val="Tahoma"/>
            <family val="2"/>
          </rPr>
          <t xml:space="preserve"> 3)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가공</t>
        </r>
        <r>
          <rPr>
            <sz val="9"/>
            <color indexed="81"/>
            <rFont val="Tahoma"/>
            <family val="2"/>
          </rPr>
          <t xml:space="preserve">: GJ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MJ</t>
        </r>
      </text>
    </comment>
    <comment ref="F7" authorId="0" shapeId="0" xr:uid="{00000000-0006-0000-0200-000006000000}">
      <text>
        <r>
          <rPr>
            <sz val="11"/>
            <color indexed="81"/>
            <rFont val="돋움"/>
            <family val="3"/>
            <charset val="129"/>
          </rPr>
          <t>▶</t>
        </r>
        <r>
          <rPr>
            <sz val="11"/>
            <color indexed="81"/>
            <rFont val="Tahoma"/>
            <family val="2"/>
          </rPr>
          <t xml:space="preserve"> (</t>
        </r>
        <r>
          <rPr>
            <sz val="11"/>
            <color indexed="81"/>
            <rFont val="돋움"/>
            <family val="3"/>
            <charset val="129"/>
          </rPr>
          <t>수식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수정</t>
        </r>
        <r>
          <rPr>
            <sz val="11"/>
            <color indexed="81"/>
            <rFont val="Tahoma"/>
            <family val="2"/>
          </rPr>
          <t xml:space="preserve">) </t>
        </r>
        <r>
          <rPr>
            <sz val="11"/>
            <color indexed="81"/>
            <rFont val="돋움"/>
            <family val="3"/>
            <charset val="129"/>
          </rPr>
          <t>월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일수에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따라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일자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 xml:space="preserve">조정
</t>
        </r>
        <r>
          <rPr>
            <sz val="11"/>
            <color indexed="81"/>
            <rFont val="Tahoma"/>
            <family val="2"/>
          </rPr>
          <t xml:space="preserve">    ROUND(F5/</t>
        </r>
        <r>
          <rPr>
            <b/>
            <sz val="11"/>
            <color indexed="81"/>
            <rFont val="Tahoma"/>
            <family val="2"/>
          </rPr>
          <t>31</t>
        </r>
        <r>
          <rPr>
            <sz val="11"/>
            <color indexed="81"/>
            <rFont val="Tahoma"/>
            <family val="2"/>
          </rPr>
          <t>,0)</t>
        </r>
      </text>
    </comment>
    <comment ref="G7" authorId="0" shapeId="0" xr:uid="{00000000-0006-0000-0200-000007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일별공급량
</t>
        </r>
        <r>
          <rPr>
            <sz val="9"/>
            <color indexed="81"/>
            <rFont val="Tahoma"/>
            <family val="2"/>
          </rPr>
          <t xml:space="preserve"> 1) DCSM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일별공급량현황</t>
        </r>
        <r>
          <rPr>
            <sz val="9"/>
            <color indexed="81"/>
            <rFont val="Tahoma"/>
            <family val="2"/>
          </rPr>
          <t xml:space="preserve">(MJ)
 2) </t>
        </r>
        <r>
          <rPr>
            <sz val="9"/>
            <color indexed="81"/>
            <rFont val="돋움"/>
            <family val="3"/>
            <charset val="129"/>
          </rPr>
          <t>상황관리팀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</text>
    </comment>
    <comment ref="R7" authorId="1" shapeId="0" xr:uid="{00000000-0006-0000-0200-000008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천연가스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(MJ) </t>
        </r>
        <r>
          <rPr>
            <sz val="9"/>
            <color indexed="81"/>
            <rFont val="돋움"/>
            <family val="3"/>
            <charset val="129"/>
          </rPr>
          <t>자료의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전년도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정보통신사업부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user:
</t>
        </r>
        <r>
          <rPr>
            <b/>
            <sz val="9"/>
            <color indexed="81"/>
            <rFont val="돋움"/>
            <family val="3"/>
            <charset val="129"/>
          </rPr>
          <t>공급전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계획이라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안적는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거이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맞다고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생각함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C5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일반용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영업용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
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공급일수는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</text>
    </comment>
    <comment ref="T12" authorId="0" shapeId="0" xr:uid="{00000000-0006-0000-06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정확히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C5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일반용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영업용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
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공급일수는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</text>
    </comment>
    <comment ref="T12" authorId="0" shapeId="0" xr:uid="{00000000-0006-0000-07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정확히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사용함</t>
        </r>
      </text>
    </comment>
  </commentList>
</comments>
</file>

<file path=xl/sharedStrings.xml><?xml version="1.0" encoding="utf-8"?>
<sst xmlns="http://schemas.openxmlformats.org/spreadsheetml/2006/main" count="2499" uniqueCount="498">
  <si>
    <t>총
누계</t>
  </si>
  <si>
    <t>산업용</t>
    <phoneticPr fontId="5" type="noConversion"/>
  </si>
  <si>
    <t>소 계</t>
    <phoneticPr fontId="5" type="noConversion"/>
  </si>
  <si>
    <t>일</t>
  </si>
  <si>
    <t>자</t>
  </si>
  <si>
    <t>%</t>
  </si>
  <si>
    <t>요</t>
    <phoneticPr fontId="5" type="noConversion"/>
  </si>
  <si>
    <t>일</t>
    <phoneticPr fontId="5" type="noConversion"/>
  </si>
  <si>
    <t>전월말</t>
    <phoneticPr fontId="5" type="noConversion"/>
  </si>
  <si>
    <t>상       반       기</t>
  </si>
  <si>
    <t>하       반       기</t>
  </si>
  <si>
    <t>계</t>
    <phoneticPr fontId="27" type="noConversion"/>
  </si>
  <si>
    <t>년간계</t>
    <phoneticPr fontId="27" type="noConversion"/>
  </si>
  <si>
    <t>구  분</t>
    <phoneticPr fontId="27" type="noConversion"/>
  </si>
  <si>
    <t>상                   반                    기</t>
    <phoneticPr fontId="27" type="noConversion"/>
  </si>
  <si>
    <t>하                    반                    기</t>
    <phoneticPr fontId="27" type="noConversion"/>
  </si>
  <si>
    <t>전년말</t>
    <phoneticPr fontId="27" type="noConversion"/>
  </si>
  <si>
    <t>누 계</t>
    <phoneticPr fontId="27" type="noConversion"/>
  </si>
  <si>
    <t>구    분</t>
    <phoneticPr fontId="27" type="noConversion"/>
  </si>
  <si>
    <t>공급일수(조업일수)</t>
    <phoneticPr fontId="27" type="noConversion"/>
  </si>
  <si>
    <t>월</t>
    <phoneticPr fontId="5" type="noConversion"/>
  </si>
  <si>
    <t>년</t>
    <phoneticPr fontId="5" type="noConversion"/>
  </si>
  <si>
    <t>대비
(%)</t>
    <phoneticPr fontId="5" type="noConversion"/>
  </si>
  <si>
    <t>계획</t>
    <phoneticPr fontId="5" type="noConversion"/>
  </si>
  <si>
    <t>당월말</t>
    <phoneticPr fontId="5" type="noConversion"/>
  </si>
  <si>
    <t>상                    반                    기</t>
    <phoneticPr fontId="27" type="noConversion"/>
  </si>
  <si>
    <t>가 정 용</t>
    <phoneticPr fontId="27" type="noConversion"/>
  </si>
  <si>
    <t>업 무 용</t>
    <phoneticPr fontId="27" type="noConversion"/>
  </si>
  <si>
    <t>년</t>
    <phoneticPr fontId="27" type="noConversion"/>
  </si>
  <si>
    <t>산 업 용</t>
    <phoneticPr fontId="27" type="noConversion"/>
  </si>
  <si>
    <t>누     계</t>
    <phoneticPr fontId="27" type="noConversion"/>
  </si>
  <si>
    <t>당월전당 일 사용량</t>
    <phoneticPr fontId="3" type="noConversion"/>
  </si>
  <si>
    <t>평균 공급전</t>
    <phoneticPr fontId="27" type="noConversion"/>
  </si>
  <si>
    <t>전</t>
  </si>
  <si>
    <t>월</t>
  </si>
  <si>
    <t>1. 공급전 현황</t>
    <phoneticPr fontId="5" type="noConversion"/>
  </si>
  <si>
    <t>구 분</t>
    <phoneticPr fontId="5" type="noConversion"/>
  </si>
  <si>
    <t>전월말
①</t>
    <phoneticPr fontId="5" type="noConversion"/>
  </si>
  <si>
    <t>용 도 별</t>
    <phoneticPr fontId="5" type="noConversion"/>
  </si>
  <si>
    <t>계획</t>
    <phoneticPr fontId="5" type="noConversion"/>
  </si>
  <si>
    <t>실적
②</t>
    <phoneticPr fontId="5" type="noConversion"/>
  </si>
  <si>
    <t>폐전
③</t>
    <phoneticPr fontId="5" type="noConversion"/>
  </si>
  <si>
    <t>용도변경
④</t>
    <phoneticPr fontId="4" type="noConversion"/>
  </si>
  <si>
    <t>달성률</t>
    <phoneticPr fontId="5" type="noConversion"/>
  </si>
  <si>
    <t>일대비</t>
    <phoneticPr fontId="5" type="noConversion"/>
  </si>
  <si>
    <t>실적</t>
    <phoneticPr fontId="5" type="noConversion"/>
  </si>
  <si>
    <t>폐전</t>
    <phoneticPr fontId="4" type="noConversion"/>
  </si>
  <si>
    <t>달성률</t>
    <phoneticPr fontId="4" type="noConversion"/>
  </si>
  <si>
    <t>일대비</t>
    <phoneticPr fontId="4" type="noConversion"/>
  </si>
  <si>
    <t>합     계</t>
    <phoneticPr fontId="5" type="noConversion"/>
  </si>
  <si>
    <t>가정용</t>
    <phoneticPr fontId="5" type="noConversion"/>
  </si>
  <si>
    <t>단 독</t>
    <phoneticPr fontId="5" type="noConversion"/>
  </si>
  <si>
    <t>업 무 용</t>
    <phoneticPr fontId="5" type="noConversion"/>
  </si>
  <si>
    <t>산 업 용</t>
    <phoneticPr fontId="5" type="noConversion"/>
  </si>
  <si>
    <t>열 병 합</t>
    <phoneticPr fontId="5" type="noConversion"/>
  </si>
  <si>
    <t>2. 공급량 현황</t>
    <phoneticPr fontId="5" type="noConversion"/>
  </si>
  <si>
    <t>계획량(MJ)</t>
    <phoneticPr fontId="5" type="noConversion"/>
  </si>
  <si>
    <t>실적(MJ)</t>
    <phoneticPr fontId="5" type="noConversion"/>
  </si>
  <si>
    <t>증감량(MJ)</t>
    <phoneticPr fontId="5" type="noConversion"/>
  </si>
  <si>
    <t>월계획</t>
    <phoneticPr fontId="5" type="noConversion"/>
  </si>
  <si>
    <t>일계획</t>
    <phoneticPr fontId="5" type="noConversion"/>
  </si>
  <si>
    <t>년계획</t>
    <phoneticPr fontId="5" type="noConversion"/>
  </si>
  <si>
    <t>월대비</t>
    <phoneticPr fontId="4" type="noConversion"/>
  </si>
  <si>
    <t>년대비</t>
    <phoneticPr fontId="4" type="noConversion"/>
  </si>
  <si>
    <t>3. 시설전 현황</t>
    <phoneticPr fontId="5" type="noConversion"/>
  </si>
  <si>
    <t>시 설 전</t>
    <phoneticPr fontId="5" type="noConversion"/>
  </si>
  <si>
    <t>4. 계약전 현황</t>
    <phoneticPr fontId="5" type="noConversion"/>
  </si>
  <si>
    <t>전월말</t>
    <phoneticPr fontId="5" type="noConversion"/>
  </si>
  <si>
    <t>계 약 전</t>
    <phoneticPr fontId="4" type="noConversion"/>
  </si>
  <si>
    <t>검증</t>
    <phoneticPr fontId="5" type="noConversion"/>
  </si>
  <si>
    <t>확인</t>
    <phoneticPr fontId="5" type="noConversion"/>
  </si>
  <si>
    <t>수식</t>
    <phoneticPr fontId="5" type="noConversion"/>
  </si>
  <si>
    <t>자료</t>
    <phoneticPr fontId="5" type="noConversion"/>
  </si>
  <si>
    <t>공급량 일일보고서_수급량(GJ→MJ)</t>
    <phoneticPr fontId="5" type="noConversion"/>
  </si>
  <si>
    <t>공급량 일일보고서_연간목표량(GJ→MJ)</t>
    <phoneticPr fontId="5" type="noConversion"/>
  </si>
  <si>
    <t>구  분</t>
    <phoneticPr fontId="5" type="noConversion"/>
  </si>
  <si>
    <t>가  정  용</t>
    <phoneticPr fontId="5" type="noConversion"/>
  </si>
  <si>
    <t>영업용</t>
    <phoneticPr fontId="5" type="noConversion"/>
  </si>
  <si>
    <t>업무용</t>
    <phoneticPr fontId="5" type="noConversion"/>
  </si>
  <si>
    <r>
      <t xml:space="preserve">열병합
</t>
    </r>
    <r>
      <rPr>
        <b/>
        <sz val="8"/>
        <rFont val="굴림체"/>
        <family val="3"/>
        <charset val="129"/>
      </rPr>
      <t>(집단용포함)</t>
    </r>
    <phoneticPr fontId="5" type="noConversion"/>
  </si>
  <si>
    <t>총  계</t>
    <phoneticPr fontId="5" type="noConversion"/>
  </si>
  <si>
    <t>공동주택</t>
    <phoneticPr fontId="5" type="noConversion"/>
  </si>
  <si>
    <t>단독주택</t>
    <phoneticPr fontId="5" type="noConversion"/>
  </si>
  <si>
    <t>계
약
전</t>
    <phoneticPr fontId="5" type="noConversion"/>
  </si>
  <si>
    <t>전월
누계</t>
    <phoneticPr fontId="5" type="noConversion"/>
  </si>
  <si>
    <t>전월
폐전</t>
    <phoneticPr fontId="5" type="noConversion"/>
  </si>
  <si>
    <t>폐전
누계</t>
    <phoneticPr fontId="5" type="noConversion"/>
  </si>
  <si>
    <t>증감</t>
    <phoneticPr fontId="5" type="noConversion"/>
  </si>
  <si>
    <t>총
누계</t>
    <phoneticPr fontId="5" type="noConversion"/>
  </si>
  <si>
    <t>시
설
전</t>
    <phoneticPr fontId="5" type="noConversion"/>
  </si>
  <si>
    <t>전
월</t>
    <phoneticPr fontId="5" type="noConversion"/>
  </si>
  <si>
    <t>공
급
전</t>
    <phoneticPr fontId="5" type="noConversion"/>
  </si>
  <si>
    <t>용도
변경</t>
    <phoneticPr fontId="5" type="noConversion"/>
  </si>
  <si>
    <t>폐전</t>
    <phoneticPr fontId="5" type="noConversion"/>
  </si>
  <si>
    <t>증감</t>
    <phoneticPr fontId="5" type="noConversion"/>
  </si>
  <si>
    <t>실적</t>
    <phoneticPr fontId="5" type="noConversion"/>
  </si>
  <si>
    <t>계</t>
    <phoneticPr fontId="5" type="noConversion"/>
  </si>
  <si>
    <t>산업용</t>
    <phoneticPr fontId="5" type="noConversion"/>
  </si>
  <si>
    <t>열병합</t>
    <phoneticPr fontId="5" type="noConversion"/>
  </si>
  <si>
    <t>용도변경
(유출)</t>
    <phoneticPr fontId="5" type="noConversion"/>
  </si>
  <si>
    <t>증감+폐전-용도변경합(유출+유입)</t>
    <phoneticPr fontId="5" type="noConversion"/>
  </si>
  <si>
    <t>용도변경
(유입)</t>
    <phoneticPr fontId="5" type="noConversion"/>
  </si>
  <si>
    <t>용도변경값은 실적에 포함되지 않는다</t>
    <phoneticPr fontId="5" type="noConversion"/>
  </si>
  <si>
    <t>합계</t>
    <phoneticPr fontId="5" type="noConversion"/>
  </si>
  <si>
    <t>구   분</t>
    <phoneticPr fontId="5" type="noConversion"/>
  </si>
  <si>
    <t>전월말</t>
    <phoneticPr fontId="5" type="noConversion"/>
  </si>
  <si>
    <t>당   월</t>
    <phoneticPr fontId="5" type="noConversion"/>
  </si>
  <si>
    <t>당   년</t>
    <phoneticPr fontId="5" type="noConversion"/>
  </si>
  <si>
    <t>폐   전</t>
    <phoneticPr fontId="38" type="noConversion"/>
  </si>
  <si>
    <t>계획</t>
    <phoneticPr fontId="5" type="noConversion"/>
  </si>
  <si>
    <t>달성률</t>
    <phoneticPr fontId="38" type="noConversion"/>
  </si>
  <si>
    <t>계획</t>
    <phoneticPr fontId="38" type="noConversion"/>
  </si>
  <si>
    <t>실적</t>
    <phoneticPr fontId="5" type="noConversion"/>
  </si>
  <si>
    <t>달성률</t>
    <phoneticPr fontId="5" type="noConversion"/>
  </si>
  <si>
    <t>당월</t>
    <phoneticPr fontId="38" type="noConversion"/>
  </si>
  <si>
    <t>당년</t>
    <phoneticPr fontId="38" type="noConversion"/>
  </si>
  <si>
    <t>누   계</t>
    <phoneticPr fontId="5" type="noConversion"/>
  </si>
  <si>
    <t>구   분</t>
    <phoneticPr fontId="5" type="noConversion"/>
  </si>
  <si>
    <t>당   월</t>
    <phoneticPr fontId="5" type="noConversion"/>
  </si>
  <si>
    <t>당   년</t>
    <phoneticPr fontId="5" type="noConversion"/>
  </si>
  <si>
    <t>누   계
(①+②-③+④)</t>
    <phoneticPr fontId="5" type="noConversion"/>
  </si>
  <si>
    <t>당   년</t>
    <phoneticPr fontId="5" type="noConversion"/>
  </si>
  <si>
    <t>전   년</t>
    <phoneticPr fontId="5" type="noConversion"/>
  </si>
  <si>
    <t>구   분</t>
    <phoneticPr fontId="5" type="noConversion"/>
  </si>
  <si>
    <t>당   월</t>
    <phoneticPr fontId="5" type="noConversion"/>
  </si>
  <si>
    <t>폐   전</t>
    <phoneticPr fontId="38" type="noConversion"/>
  </si>
  <si>
    <t>누   계</t>
    <phoneticPr fontId="5" type="noConversion"/>
  </si>
  <si>
    <t>계획</t>
    <phoneticPr fontId="5" type="noConversion"/>
  </si>
  <si>
    <t>실적</t>
    <phoneticPr fontId="5" type="noConversion"/>
  </si>
  <si>
    <t>달성률</t>
    <phoneticPr fontId="38" type="noConversion"/>
  </si>
  <si>
    <t>계획</t>
    <phoneticPr fontId="38" type="noConversion"/>
  </si>
  <si>
    <t>실적</t>
    <phoneticPr fontId="38" type="noConversion"/>
  </si>
  <si>
    <t>달성률</t>
    <phoneticPr fontId="5" type="noConversion"/>
  </si>
  <si>
    <t>일대비</t>
    <phoneticPr fontId="5" type="noConversion"/>
  </si>
  <si>
    <t>당월</t>
    <phoneticPr fontId="5" type="noConversion"/>
  </si>
  <si>
    <t>당년</t>
    <phoneticPr fontId="5" type="noConversion"/>
  </si>
  <si>
    <t>영    업    일    보</t>
    <phoneticPr fontId="5" type="noConversion"/>
  </si>
  <si>
    <t>6월</t>
  </si>
  <si>
    <t>7월</t>
  </si>
  <si>
    <t>8월</t>
  </si>
  <si>
    <t>9월</t>
  </si>
  <si>
    <t>10월</t>
  </si>
  <si>
    <t>11월</t>
  </si>
  <si>
    <t>12월</t>
  </si>
  <si>
    <t>(단위 : 전)</t>
    <phoneticPr fontId="27" type="noConversion"/>
  </si>
  <si>
    <t>구     분</t>
    <phoneticPr fontId="27" type="noConversion"/>
  </si>
  <si>
    <t>전 년 말</t>
    <phoneticPr fontId="27" type="noConversion"/>
  </si>
  <si>
    <t>누  계</t>
    <phoneticPr fontId="27" type="noConversion"/>
  </si>
  <si>
    <t>1월</t>
    <phoneticPr fontId="84" type="noConversion"/>
  </si>
  <si>
    <t>4월</t>
    <phoneticPr fontId="84" type="noConversion"/>
  </si>
  <si>
    <t>당</t>
    <phoneticPr fontId="27" type="noConversion"/>
  </si>
  <si>
    <t>열 병 합</t>
    <phoneticPr fontId="27" type="noConversion"/>
  </si>
  <si>
    <t>전월까지</t>
    <phoneticPr fontId="38" type="noConversion"/>
  </si>
  <si>
    <t>월간계획 중
해당일까지</t>
    <phoneticPr fontId="38" type="noConversion"/>
  </si>
  <si>
    <t>연간계획 중
해당일까지</t>
    <phoneticPr fontId="38" type="noConversion"/>
  </si>
  <si>
    <t>전월까지
연간 전수</t>
    <phoneticPr fontId="38" type="noConversion"/>
  </si>
  <si>
    <t>전월까지
연간 폐전수</t>
    <phoneticPr fontId="38" type="noConversion"/>
  </si>
  <si>
    <t>실적 누계(당년)</t>
    <phoneticPr fontId="38" type="noConversion"/>
  </si>
  <si>
    <t>용도변경</t>
    <phoneticPr fontId="38" type="noConversion"/>
  </si>
  <si>
    <t>전월까지
연간 건수</t>
    <phoneticPr fontId="38" type="noConversion"/>
  </si>
  <si>
    <t>총 누계</t>
    <phoneticPr fontId="38" type="noConversion"/>
  </si>
  <si>
    <t>2월</t>
    <phoneticPr fontId="84" type="noConversion"/>
  </si>
  <si>
    <t>3월</t>
    <phoneticPr fontId="84" type="noConversion"/>
  </si>
  <si>
    <t>5월</t>
    <phoneticPr fontId="84" type="noConversion"/>
  </si>
  <si>
    <t>월 총공급량</t>
    <phoneticPr fontId="84" type="noConversion"/>
  </si>
  <si>
    <t>(㎥/월)</t>
    <phoneticPr fontId="84" type="noConversion"/>
  </si>
  <si>
    <t>(천MJ/월)</t>
  </si>
  <si>
    <t>1월</t>
    <phoneticPr fontId="27" type="noConversion"/>
  </si>
  <si>
    <t>2월</t>
    <phoneticPr fontId="27" type="noConversion"/>
  </si>
  <si>
    <t>3월</t>
    <phoneticPr fontId="27" type="noConversion"/>
  </si>
  <si>
    <t>4월</t>
    <phoneticPr fontId="27" type="noConversion"/>
  </si>
  <si>
    <t>5월</t>
    <phoneticPr fontId="27" type="noConversion"/>
  </si>
  <si>
    <t>상반기계</t>
    <phoneticPr fontId="27" type="noConversion"/>
  </si>
  <si>
    <t>7월</t>
    <phoneticPr fontId="27" type="noConversion"/>
  </si>
  <si>
    <t>8월</t>
    <phoneticPr fontId="27" type="noConversion"/>
  </si>
  <si>
    <t>하반기계</t>
    <phoneticPr fontId="27" type="noConversion"/>
  </si>
  <si>
    <t>공급량 (천㎥)</t>
    <phoneticPr fontId="27" type="noConversion"/>
  </si>
  <si>
    <t>구           분</t>
    <phoneticPr fontId="27" type="noConversion"/>
  </si>
  <si>
    <t>년간합계</t>
    <phoneticPr fontId="27" type="noConversion"/>
  </si>
  <si>
    <t>공급량 (GJ)</t>
    <phoneticPr fontId="84" type="noConversion"/>
  </si>
  <si>
    <t>월 공급량 계획(MJ)</t>
    <phoneticPr fontId="3" type="noConversion"/>
  </si>
  <si>
    <t>공급량 누계(MJ)</t>
    <phoneticPr fontId="3" type="noConversion"/>
  </si>
  <si>
    <t>▶ 실제 일수(달력)</t>
    <phoneticPr fontId="84" type="noConversion"/>
  </si>
  <si>
    <t>전년 공급량(MJ)</t>
    <phoneticPr fontId="27" type="noConversion"/>
  </si>
  <si>
    <t>전년누계(MJ)</t>
    <phoneticPr fontId="3" type="noConversion"/>
  </si>
  <si>
    <t>▶ 전년 공급량 실적(MJ) → 확정 실적(DCSM 자료와 사업계획 실적 자료 확인)</t>
    <phoneticPr fontId="84" type="noConversion"/>
  </si>
  <si>
    <t>▶ (영업일보 sheet) 당월전당일사용량 값에 사용됨</t>
    <phoneticPr fontId="84" type="noConversion"/>
  </si>
  <si>
    <t>▶ 당월계획량 ÷ 평균 공급전수 ÷ 공급일수</t>
    <phoneticPr fontId="84" type="noConversion"/>
  </si>
  <si>
    <t>월 공급량 계획(㎥)</t>
    <phoneticPr fontId="3" type="noConversion"/>
  </si>
  <si>
    <t>공급량 누계(㎥)</t>
    <phoneticPr fontId="3" type="noConversion"/>
  </si>
  <si>
    <t>전년 공급량(㎥)</t>
    <phoneticPr fontId="27" type="noConversion"/>
  </si>
  <si>
    <t>전년누계(㎥)</t>
    <phoneticPr fontId="3" type="noConversion"/>
  </si>
  <si>
    <t>▶ 전년 공급량 실적(㎥) → 확정 실적(DCSM 자료와 사업계획 실적 자료 확인)</t>
    <phoneticPr fontId="84" type="noConversion"/>
  </si>
  <si>
    <t>전월 실적</t>
    <phoneticPr fontId="5" type="noConversion"/>
  </si>
  <si>
    <t>전년 요일</t>
    <phoneticPr fontId="5" type="noConversion"/>
  </si>
  <si>
    <t>일 별 수 급 량</t>
    <phoneticPr fontId="5" type="noConversion"/>
  </si>
  <si>
    <t>일 별 공 급 량</t>
    <phoneticPr fontId="5" type="noConversion"/>
  </si>
  <si>
    <t>당 월 공 급 량</t>
    <phoneticPr fontId="5" type="noConversion"/>
  </si>
  <si>
    <t>연  간  계</t>
    <phoneticPr fontId="5" type="noConversion"/>
  </si>
  <si>
    <t>전  년  대  비</t>
    <phoneticPr fontId="5" type="noConversion"/>
  </si>
  <si>
    <t>월 계</t>
    <phoneticPr fontId="5" type="noConversion"/>
  </si>
  <si>
    <t>누 계</t>
    <phoneticPr fontId="5" type="noConversion"/>
  </si>
  <si>
    <t>계 획</t>
    <phoneticPr fontId="5" type="noConversion"/>
  </si>
  <si>
    <t>실 적(MJ)</t>
    <phoneticPr fontId="5" type="noConversion"/>
  </si>
  <si>
    <t>증 감</t>
    <phoneticPr fontId="5" type="noConversion"/>
  </si>
  <si>
    <t>계 획</t>
    <phoneticPr fontId="5" type="noConversion"/>
  </si>
  <si>
    <t>실 적</t>
    <phoneticPr fontId="5" type="noConversion"/>
  </si>
  <si>
    <t>증 감</t>
    <phoneticPr fontId="5" type="noConversion"/>
  </si>
  <si>
    <t>실 적</t>
    <phoneticPr fontId="5" type="noConversion"/>
  </si>
  <si>
    <t>증 감</t>
    <phoneticPr fontId="5" type="noConversion"/>
  </si>
  <si>
    <t>일 별 (MJ)</t>
    <phoneticPr fontId="5" type="noConversion"/>
  </si>
  <si>
    <t>일 별 (MJ)</t>
    <phoneticPr fontId="5" type="noConversion"/>
  </si>
  <si>
    <t>가정용</t>
    <phoneticPr fontId="38" type="noConversion"/>
  </si>
  <si>
    <t>공동주택</t>
    <phoneticPr fontId="38" type="noConversion"/>
  </si>
  <si>
    <t>단독주택</t>
    <phoneticPr fontId="38" type="noConversion"/>
  </si>
  <si>
    <t>소계</t>
    <phoneticPr fontId="38" type="noConversion"/>
  </si>
  <si>
    <t>▶ 전년말 실적 입력(영업일보 기준)</t>
    <phoneticPr fontId="38" type="noConversion"/>
  </si>
  <si>
    <t>값 입력</t>
    <phoneticPr fontId="38" type="noConversion"/>
  </si>
  <si>
    <t>값 입력</t>
    <phoneticPr fontId="27" type="noConversion"/>
  </si>
  <si>
    <t>가정용</t>
    <phoneticPr fontId="27" type="noConversion"/>
  </si>
  <si>
    <t>공동주택</t>
    <phoneticPr fontId="27" type="noConversion"/>
  </si>
  <si>
    <t>단독주택</t>
    <phoneticPr fontId="27" type="noConversion"/>
  </si>
  <si>
    <t>소계</t>
    <phoneticPr fontId="27" type="noConversion"/>
  </si>
  <si>
    <t>공급전 계획 누계</t>
    <phoneticPr fontId="38" type="noConversion"/>
  </si>
  <si>
    <t>값 입력</t>
    <phoneticPr fontId="38" type="noConversion"/>
  </si>
  <si>
    <t>공 동</t>
    <phoneticPr fontId="5" type="noConversion"/>
  </si>
  <si>
    <t>계약전 누계</t>
    <phoneticPr fontId="38" type="noConversion"/>
  </si>
  <si>
    <t>당월까지</t>
    <phoneticPr fontId="38" type="noConversion"/>
  </si>
  <si>
    <t>일 반 용</t>
    <phoneticPr fontId="27" type="noConversion"/>
  </si>
  <si>
    <t>계</t>
    <phoneticPr fontId="84" type="noConversion"/>
  </si>
  <si>
    <t>▶ 작성 방법</t>
  </si>
  <si>
    <t xml:space="preserve"> 1. A2셀 날짜 변경</t>
  </si>
  <si>
    <t xml:space="preserve"> 2. 영업현황 sheet</t>
  </si>
  <si>
    <t>1) 계약전</t>
  </si>
  <si>
    <t xml:space="preserve">  - 폐전 누계(7행) → 전월 폐전(6행) 값 복사</t>
  </si>
  <si>
    <t xml:space="preserve">  - 총 누계(10행) → 전월 누계(5행) 값 복사</t>
  </si>
  <si>
    <t>2) 시설전</t>
  </si>
  <si>
    <t xml:space="preserve">  - 총 누계(16행) → 전월 누계(11행) 값 복사</t>
  </si>
  <si>
    <t>3) 공급전</t>
  </si>
  <si>
    <t xml:space="preserve">  - 총 누계(22행) → 전월 누계(17행) 값 복사</t>
  </si>
  <si>
    <t>4) 용도변경 값 입력(29~30행)</t>
  </si>
  <si>
    <t>3. 영업일보 sheet</t>
  </si>
  <si>
    <t>1) 공급전 현황</t>
  </si>
  <si>
    <t xml:space="preserve">  - 당년 실적(K열) → 전월까지 누계(R열) 값 복사</t>
  </si>
  <si>
    <t xml:space="preserve">  - 당년 폐전 실적(L열) → 전월까지 연간 폐전수(S열) 값 복사</t>
  </si>
  <si>
    <t xml:space="preserve">  - 용도변경 총 누계(Z열) → 전월까지 연간 건수(Y열) 값 복사</t>
  </si>
  <si>
    <t xml:space="preserve">  - 총 누계값(O열) → 전월말 실적(C열) 값 복사</t>
  </si>
  <si>
    <t>2) 시설전 현황</t>
  </si>
  <si>
    <t xml:space="preserve">  - 당년 실적(I열) → 전월까지 누계(R열) 값 복사</t>
  </si>
  <si>
    <t xml:space="preserve">  - 총 누계값(N열) → 전월말 실적(C열) 값 복사</t>
  </si>
  <si>
    <t>3) 계약전 현황</t>
  </si>
  <si>
    <t xml:space="preserve">  - 당년 실적(I열) → 전년까지 연간 전수(R열) 값 복사</t>
  </si>
  <si>
    <t xml:space="preserve">  - 당년 폐전 실적(M열) → 전월까지 연간 폐전수(S열) 값 복사</t>
  </si>
  <si>
    <t>4. 공급량 sheet</t>
  </si>
  <si>
    <t>1) 전월 마지막 값(36~37행) → 전월 실적 행(6행) 값 복사</t>
  </si>
  <si>
    <t>2) 일별공급량(MJ) 계획(F열) 수식 변경 → 월 일수로 나누기</t>
  </si>
  <si>
    <t>3) 일별 수급량(MJ) 입력(F열)</t>
  </si>
  <si>
    <t xml:space="preserve">  - 고객지원시스템 → 수급량 관리 → 재고량 정보 → 말일자 입력</t>
  </si>
  <si>
    <t xml:space="preserve">  - 수급량(GJ) → MJ 값으로 변경</t>
  </si>
  <si>
    <t>4) 일별 공급량(MJ) 입력(G열)</t>
  </si>
  <si>
    <t xml:space="preserve">  - DCSM 일별공급량(MJ) 값 입력</t>
  </si>
  <si>
    <t>5) 전년 일별공급량(MJ) 값 입력</t>
  </si>
  <si>
    <t>6) 42행 검증값 입력</t>
  </si>
  <si>
    <t xml:space="preserve">  - 일별수급량 검증: 공급량 일일보고서(수급량) - C</t>
  </si>
  <si>
    <t xml:space="preserve">  - 일별공급량 검증: 공급량 일일보고서(공급량) - G</t>
  </si>
  <si>
    <t xml:space="preserve">  - 연간 공급량 검증: 공급량 일일보고서(연간 목표량) - N</t>
  </si>
  <si>
    <t xml:space="preserve">  - 전년 일별공급량 검증: 천연가스공급량(MJ) 자료 - R</t>
  </si>
  <si>
    <t>5. 영업일보 sheet) 검증</t>
  </si>
  <si>
    <t>1) 당월 계획량(D18, D19) 일치 확인</t>
  </si>
  <si>
    <t>2) 당년 실적(H20, H22) 값 천연가스공급량(MJ) 누계 값과 일치 확인</t>
  </si>
  <si>
    <t>▶ 전년 동월 대비</t>
    <phoneticPr fontId="38" type="noConversion"/>
  </si>
  <si>
    <t>달성률</t>
    <phoneticPr fontId="38" type="noConversion"/>
  </si>
  <si>
    <t>당월전당일사용량</t>
    <phoneticPr fontId="5" type="noConversion"/>
  </si>
  <si>
    <t>계획</t>
    <phoneticPr fontId="38" type="noConversion"/>
  </si>
  <si>
    <t>실적</t>
    <phoneticPr fontId="4" type="noConversion"/>
  </si>
  <si>
    <t>일반용</t>
    <phoneticPr fontId="38" type="noConversion"/>
  </si>
  <si>
    <t>업무용</t>
    <phoneticPr fontId="38" type="noConversion"/>
  </si>
  <si>
    <t>산업용</t>
    <phoneticPr fontId="38" type="noConversion"/>
  </si>
  <si>
    <t>열병합</t>
    <phoneticPr fontId="38" type="noConversion"/>
  </si>
  <si>
    <t>영 업 현 황</t>
    <phoneticPr fontId="38" type="noConversion"/>
  </si>
  <si>
    <t>1. (영업일보 sheet) → (영업현황 sheet) → 날짜 변경</t>
    <phoneticPr fontId="38" type="noConversion"/>
  </si>
  <si>
    <t>1월 월보</t>
    <phoneticPr fontId="38" type="noConversion"/>
  </si>
  <si>
    <t>2월 월보</t>
    <phoneticPr fontId="38" type="noConversion"/>
  </si>
  <si>
    <t>3월 월보</t>
    <phoneticPr fontId="38" type="noConversion"/>
  </si>
  <si>
    <t>4월 월보</t>
    <phoneticPr fontId="38" type="noConversion"/>
  </si>
  <si>
    <t>5월 월보</t>
    <phoneticPr fontId="38" type="noConversion"/>
  </si>
  <si>
    <t>6월 월보</t>
  </si>
  <si>
    <t>7월 월보</t>
  </si>
  <si>
    <t>8월 월보</t>
    <phoneticPr fontId="38" type="noConversion"/>
  </si>
  <si>
    <t>9월 월보</t>
    <phoneticPr fontId="38" type="noConversion"/>
  </si>
  <si>
    <t>10월 월보</t>
    <phoneticPr fontId="38" type="noConversion"/>
  </si>
  <si>
    <t>11월 월보</t>
    <phoneticPr fontId="38" type="noConversion"/>
  </si>
  <si>
    <t>12월 월보</t>
    <phoneticPr fontId="38" type="noConversion"/>
  </si>
  <si>
    <t xml:space="preserve"> ⑤ (영업현황 sheet) 날짜 변경</t>
    <phoneticPr fontId="38" type="noConversion"/>
  </si>
  <si>
    <t xml:space="preserve"> ⑥ (영업현황 sheet) 계약전, 시설전, 공급전 누계값, 용도변경값 입력</t>
    <phoneticPr fontId="38" type="noConversion"/>
  </si>
  <si>
    <t>목표</t>
    <phoneticPr fontId="38" type="noConversion"/>
  </si>
  <si>
    <t xml:space="preserve"> ① (공급전) K, L행 → S, T행 값 복사 / AA행 → Z행 값 복사</t>
    <phoneticPr fontId="38" type="noConversion"/>
  </si>
  <si>
    <t xml:space="preserve"> ② (공급전) 누계(O행 → C행)</t>
    <phoneticPr fontId="38" type="noConversion"/>
  </si>
  <si>
    <t xml:space="preserve"> ③ (시설전) I행 → S행 값 복사 / 누계(N행 → C행)</t>
    <phoneticPr fontId="38" type="noConversion"/>
  </si>
  <si>
    <t xml:space="preserve"> ④ (계약전) I행 → S행, M행 → T행 값 복사 / 누계(N행 → C행)</t>
    <phoneticPr fontId="38" type="noConversion"/>
  </si>
  <si>
    <t>당월
폐전</t>
    <phoneticPr fontId="5" type="noConversion"/>
  </si>
  <si>
    <t>공급량 일일보고서_전년도 날짜</t>
    <phoneticPr fontId="5" type="noConversion"/>
  </si>
  <si>
    <t>계획(누계)</t>
    <phoneticPr fontId="27" type="noConversion"/>
  </si>
  <si>
    <t>실적</t>
    <phoneticPr fontId="27" type="noConversion"/>
  </si>
  <si>
    <t>누계</t>
    <phoneticPr fontId="27" type="noConversion"/>
  </si>
  <si>
    <t>달성률</t>
    <phoneticPr fontId="27" type="noConversion"/>
  </si>
  <si>
    <t>▶ 2021년 사업계획(빌링팀)</t>
    <phoneticPr fontId="3" type="noConversion"/>
  </si>
  <si>
    <t>판매량(GJ)</t>
    <phoneticPr fontId="84" type="noConversion"/>
  </si>
  <si>
    <t>판매량(천㎥)</t>
    <phoneticPr fontId="27" type="noConversion"/>
  </si>
  <si>
    <t>▶ 빌링팀 사업계획 → 판매계획(재고) sheet</t>
    <phoneticPr fontId="84" type="noConversion"/>
  </si>
  <si>
    <t>→ 영업일보 계약전 누계</t>
    <phoneticPr fontId="5" type="noConversion"/>
  </si>
  <si>
    <t>→ 영업일보 폐전 누계</t>
    <phoneticPr fontId="5" type="noConversion"/>
  </si>
  <si>
    <t>→ 폐전 누계(8행)</t>
    <phoneticPr fontId="5" type="noConversion"/>
  </si>
  <si>
    <t>[계약전 파일] 현황(16행)과 일치 확인</t>
    <phoneticPr fontId="5" type="noConversion"/>
  </si>
  <si>
    <t>[시설전 파일] 현황(11행)과 일치 확인</t>
    <phoneticPr fontId="5" type="noConversion"/>
  </si>
  <si>
    <t>→ 시설전 누계(3행)</t>
    <phoneticPr fontId="5" type="noConversion"/>
  </si>
  <si>
    <t>→ 영업일보 공급전 누계</t>
    <phoneticPr fontId="5" type="noConversion"/>
  </si>
  <si>
    <t>[공급전 파일] 현황(12행)과 일치 확인 (폐전 적용 후)</t>
    <phoneticPr fontId="5" type="noConversion"/>
  </si>
  <si>
    <t>→ 공급전 누계
(5행, 열병합 6전 제외)</t>
    <phoneticPr fontId="5" type="noConversion"/>
  </si>
  <si>
    <t>결
재</t>
    <phoneticPr fontId="38" type="noConversion"/>
  </si>
  <si>
    <t>담 당</t>
    <phoneticPr fontId="38" type="noConversion"/>
  </si>
  <si>
    <t>부팀장</t>
    <phoneticPr fontId="38" type="noConversion"/>
  </si>
  <si>
    <t>팀 장</t>
    <phoneticPr fontId="38" type="noConversion"/>
  </si>
  <si>
    <t>/</t>
    <phoneticPr fontId="38" type="noConversion"/>
  </si>
  <si>
    <t>/</t>
    <phoneticPr fontId="38" type="noConversion"/>
  </si>
  <si>
    <t>1월</t>
    <phoneticPr fontId="95" type="noConversion"/>
  </si>
  <si>
    <t>2월</t>
    <phoneticPr fontId="95" type="noConversion"/>
  </si>
  <si>
    <t>3월</t>
    <phoneticPr fontId="95" type="noConversion"/>
  </si>
  <si>
    <t>4월</t>
    <phoneticPr fontId="95" type="noConversion"/>
  </si>
  <si>
    <t>5월</t>
    <phoneticPr fontId="95" type="noConversion"/>
  </si>
  <si>
    <t>6월</t>
    <phoneticPr fontId="95" type="noConversion"/>
  </si>
  <si>
    <t>상반기</t>
    <phoneticPr fontId="95" type="noConversion"/>
  </si>
  <si>
    <t>7월</t>
    <phoneticPr fontId="95" type="noConversion"/>
  </si>
  <si>
    <t>8월</t>
    <phoneticPr fontId="95" type="noConversion"/>
  </si>
  <si>
    <t>하반기</t>
    <phoneticPr fontId="95" type="noConversion"/>
  </si>
  <si>
    <t>연간계</t>
    <phoneticPr fontId="95" type="noConversion"/>
  </si>
  <si>
    <t>영업용1</t>
    <phoneticPr fontId="84" type="noConversion"/>
  </si>
  <si>
    <t>영업용2</t>
    <phoneticPr fontId="84" type="noConversion"/>
  </si>
  <si>
    <t>업무난방</t>
    <phoneticPr fontId="84" type="noConversion"/>
  </si>
  <si>
    <t>냉난방</t>
    <phoneticPr fontId="84" type="noConversion"/>
  </si>
  <si>
    <t>주한미군</t>
    <phoneticPr fontId="84" type="noConversion"/>
  </si>
  <si>
    <t>월별 증감</t>
    <phoneticPr fontId="84" type="noConversion"/>
  </si>
  <si>
    <t>월별 폐전</t>
    <phoneticPr fontId="84" type="noConversion"/>
  </si>
  <si>
    <t>월별 용도변경</t>
    <phoneticPr fontId="84" type="noConversion"/>
  </si>
  <si>
    <t>구 분</t>
    <phoneticPr fontId="38" type="noConversion"/>
  </si>
  <si>
    <r>
      <t xml:space="preserve">업무용 공급전
</t>
    </r>
    <r>
      <rPr>
        <b/>
        <sz val="9"/>
        <rFont val="돋움"/>
        <family val="3"/>
        <charset val="129"/>
      </rPr>
      <t>(월별 증감 + 폐전 
- 용도변경)</t>
    </r>
    <phoneticPr fontId="84" type="noConversion"/>
  </si>
  <si>
    <t>-</t>
    <phoneticPr fontId="38" type="noConversion"/>
  </si>
  <si>
    <t>▶ 수요개발팀 사업계획 (공급량 계획 sheet) 월 총공급량(82행) GJ값 입력(GJ→MJ 확인)</t>
    <phoneticPr fontId="84" type="noConversion"/>
  </si>
  <si>
    <t>▶ 수요개발팀 사업계획 (공급량 계획 sheet) 월 총공급량(81행) ㎥값 입력</t>
    <phoneticPr fontId="84" type="noConversion"/>
  </si>
  <si>
    <t>추후 업데이트 예정</t>
    <phoneticPr fontId="38" type="noConversion"/>
  </si>
  <si>
    <t>→ 계약전 누계(10행)</t>
  </si>
  <si>
    <t>→ 영업일보 시설전 누계</t>
  </si>
  <si>
    <t>▶ 2023년 사업계획(수요개발팀)</t>
    <phoneticPr fontId="3" type="noConversion"/>
  </si>
  <si>
    <t>■ 영업일보 분석</t>
    <phoneticPr fontId="38" type="noConversion"/>
  </si>
  <si>
    <t>구 분</t>
    <phoneticPr fontId="5" type="noConversion"/>
  </si>
  <si>
    <t>당 월</t>
    <phoneticPr fontId="5" type="noConversion"/>
  </si>
  <si>
    <t>계 획</t>
    <phoneticPr fontId="5" type="noConversion"/>
  </si>
  <si>
    <t>폐 전</t>
    <phoneticPr fontId="5" type="noConversion"/>
  </si>
  <si>
    <t>용도변경</t>
    <phoneticPr fontId="4" type="noConversion"/>
  </si>
  <si>
    <t>합 계</t>
    <phoneticPr fontId="5" type="noConversion"/>
  </si>
  <si>
    <t>가정용 계</t>
    <phoneticPr fontId="38" type="noConversion"/>
  </si>
  <si>
    <t>계획 대비</t>
    <phoneticPr fontId="5" type="noConversion"/>
  </si>
  <si>
    <t>용 도</t>
    <phoneticPr fontId="38" type="noConversion"/>
  </si>
  <si>
    <t>전 수</t>
    <phoneticPr fontId="38" type="noConversion"/>
  </si>
  <si>
    <t>고 객 명</t>
    <phoneticPr fontId="38" type="noConversion"/>
  </si>
  <si>
    <t>비 고</t>
    <phoneticPr fontId="38" type="noConversion"/>
  </si>
  <si>
    <t>이시범</t>
    <phoneticPr fontId="38" type="noConversion"/>
  </si>
  <si>
    <t>[고객지원시스템]-[월별 영업실적/현황조회]-[일별 공급량](MJ)</t>
    <phoneticPr fontId="5" type="noConversion"/>
  </si>
  <si>
    <t>총세대수</t>
    <phoneticPr fontId="38" type="noConversion"/>
  </si>
  <si>
    <t>아파트명</t>
    <phoneticPr fontId="38" type="noConversion"/>
  </si>
  <si>
    <t>당초 계획</t>
    <phoneticPr fontId="38" type="noConversion"/>
  </si>
  <si>
    <t>배경호</t>
    <phoneticPr fontId="38" type="noConversion"/>
  </si>
  <si>
    <t>월사용예정량(㎥)</t>
    <phoneticPr fontId="38" type="noConversion"/>
  </si>
  <si>
    <t>■ 당월 입주예정 공동주택 현황(BI 파일 참고)</t>
    <phoneticPr fontId="38" type="noConversion"/>
  </si>
  <si>
    <t>■ 주요 폐전 분석(BI 파일 참고)</t>
    <phoneticPr fontId="38" type="noConversion"/>
  </si>
  <si>
    <t>일반용1</t>
  </si>
  <si>
    <t>일반용2</t>
  </si>
  <si>
    <t>업무난방용</t>
  </si>
  <si>
    <t>냉난방용</t>
  </si>
  <si>
    <t>실제 입주월</t>
    <phoneticPr fontId="38" type="noConversion"/>
  </si>
  <si>
    <t>비고</t>
    <phoneticPr fontId="38" type="noConversion"/>
  </si>
  <si>
    <t>고객상태</t>
    <phoneticPr fontId="19" type="noConversion"/>
  </si>
  <si>
    <t>주한미군</t>
  </si>
  <si>
    <t>연료전지</t>
    <phoneticPr fontId="38" type="noConversion"/>
  </si>
  <si>
    <t>2024년 월별 공급량 계획(㎥)</t>
    <phoneticPr fontId="3" type="noConversion"/>
  </si>
  <si>
    <t>ㅉ</t>
    <phoneticPr fontId="5" type="noConversion"/>
  </si>
  <si>
    <t>■ 주요 신규 공급(BI 파일 참고)</t>
    <phoneticPr fontId="38" type="noConversion"/>
  </si>
  <si>
    <t>산업용</t>
  </si>
  <si>
    <t>■ 주요 공동주택 입주율 현황(BI 파일 참고)</t>
    <phoneticPr fontId="38" type="noConversion"/>
  </si>
  <si>
    <t>상품</t>
    <phoneticPr fontId="38" type="noConversion"/>
  </si>
  <si>
    <t>기준열량
(한국가스공사)</t>
    <phoneticPr fontId="38" type="noConversion"/>
  </si>
  <si>
    <t>범어공원풀비체</t>
  </si>
  <si>
    <t>1. 개발계획</t>
    <phoneticPr fontId="84" type="noConversion"/>
  </si>
  <si>
    <t>구분</t>
    <phoneticPr fontId="84" type="noConversion"/>
  </si>
  <si>
    <t>상   반  기</t>
    <phoneticPr fontId="84" type="noConversion"/>
  </si>
  <si>
    <t>하   반  기</t>
    <phoneticPr fontId="84" type="noConversion"/>
  </si>
  <si>
    <t>년간
(계)</t>
    <phoneticPr fontId="84" type="noConversion"/>
  </si>
  <si>
    <t>공급전</t>
    <phoneticPr fontId="129" type="noConversion"/>
  </si>
  <si>
    <t>공동주택
[공급]</t>
    <phoneticPr fontId="84" type="noConversion"/>
  </si>
  <si>
    <t>전수</t>
    <phoneticPr fontId="84" type="noConversion"/>
  </si>
  <si>
    <t>계약전</t>
    <phoneticPr fontId="129" type="noConversion"/>
  </si>
  <si>
    <t>공동주택
[계약]
Normal</t>
    <phoneticPr fontId="84" type="noConversion"/>
  </si>
  <si>
    <t>전수</t>
    <phoneticPr fontId="129" type="noConversion"/>
  </si>
  <si>
    <t>2.공동주택 취사 공급전</t>
    <phoneticPr fontId="84" type="noConversion"/>
  </si>
  <si>
    <t>취사 전용 아파트명</t>
    <phoneticPr fontId="129" type="noConversion"/>
  </si>
  <si>
    <t>입주월</t>
    <phoneticPr fontId="129" type="noConversion"/>
  </si>
  <si>
    <t>세대수</t>
    <phoneticPr fontId="129" type="noConversion"/>
  </si>
  <si>
    <t>1월</t>
    <phoneticPr fontId="129" type="noConversion"/>
  </si>
  <si>
    <t>2월</t>
  </si>
  <si>
    <t>3월</t>
  </si>
  <si>
    <t>4월</t>
  </si>
  <si>
    <t>5월</t>
  </si>
  <si>
    <t>공급전수 계</t>
    <phoneticPr fontId="129" type="noConversion"/>
  </si>
  <si>
    <t>영대병원역골드클래스센트럴</t>
  </si>
  <si>
    <t/>
  </si>
  <si>
    <t>달성우신미가뷰2차</t>
  </si>
  <si>
    <t>해링턴플레이스트라이빗</t>
  </si>
  <si>
    <t>힐스테이트칠성더오페라</t>
  </si>
  <si>
    <t>대구역센트레빌더오페라</t>
  </si>
  <si>
    <t>e편한세상명덕역퍼스트마크</t>
  </si>
  <si>
    <t>호반써밋하이브파크</t>
  </si>
  <si>
    <t>대명자이그랜드시티</t>
  </si>
  <si>
    <t>달서푸르지오시그니처</t>
  </si>
  <si>
    <t>태왕아너스프리미어</t>
  </si>
  <si>
    <t>전우철</t>
    <phoneticPr fontId="38" type="noConversion"/>
  </si>
  <si>
    <t>공동주택</t>
  </si>
  <si>
    <t>단독주택</t>
  </si>
  <si>
    <t>일반용</t>
  </si>
  <si>
    <t>업무용</t>
  </si>
  <si>
    <t>열병합</t>
  </si>
  <si>
    <t>날짜</t>
    <phoneticPr fontId="38" type="noConversion"/>
  </si>
  <si>
    <t>상품</t>
  </si>
  <si>
    <t>고 객 명</t>
  </si>
  <si>
    <t>사용계약번호</t>
  </si>
  <si>
    <t>시설물번호</t>
  </si>
  <si>
    <t>등급</t>
  </si>
  <si>
    <t>전년누계 사용량(㎥)</t>
  </si>
  <si>
    <t>사유</t>
  </si>
  <si>
    <t>아파트명</t>
  </si>
  <si>
    <t>공급승인일</t>
  </si>
  <si>
    <t>총세대수</t>
  </si>
  <si>
    <t>당월입주세대수</t>
  </si>
  <si>
    <t>입주세대수(누계)</t>
  </si>
  <si>
    <t>당월누계입주율</t>
  </si>
  <si>
    <t>영 업 용</t>
    <phoneticPr fontId="5" type="noConversion"/>
  </si>
  <si>
    <t>2026년 공급전 계획</t>
    <phoneticPr fontId="27" type="noConversion"/>
  </si>
  <si>
    <t>2026년 계약전 계획</t>
    <phoneticPr fontId="27" type="noConversion"/>
  </si>
  <si>
    <t>2026년 월별 공급량 계획(MJ)</t>
    <phoneticPr fontId="3" type="noConversion"/>
  </si>
  <si>
    <t>계약전</t>
    <phoneticPr fontId="95" type="noConversion"/>
  </si>
  <si>
    <t>다산월드메르디앙센텀하이</t>
  </si>
  <si>
    <t>복현지구 주거환경개선사업</t>
  </si>
  <si>
    <t>힐스테이트대명센트럴 2차</t>
  </si>
  <si>
    <t>범어자이</t>
  </si>
  <si>
    <t>어나드범어 (대구MBC부지 주상복합)</t>
  </si>
  <si>
    <t>대가야스카이뷰3차</t>
  </si>
  <si>
    <t>벤처밸리푸르지오</t>
  </si>
  <si>
    <t>힐스테이트동대구센트럴</t>
  </si>
  <si>
    <t>2026년 공동주택 계약 및 공급 사업계획</t>
    <phoneticPr fontId="85" type="noConversion"/>
  </si>
  <si>
    <t>사일동주거복합 (사일동 더샵)</t>
  </si>
  <si>
    <t>본리동 자이 주상복합(GS건설)</t>
  </si>
  <si>
    <t>월성주공5단지 개별난방 전환</t>
  </si>
  <si>
    <t>두산위브더제니스 센트럴시티(학정역 공동주택)</t>
  </si>
  <si>
    <t>수성구 청솔로 가로주택 정비사업</t>
  </si>
  <si>
    <t>더샵달서센트엘로</t>
  </si>
  <si>
    <t>2027년 공동주택 계약 및 공급 사업계획</t>
    <phoneticPr fontId="85" type="noConversion"/>
  </si>
  <si>
    <t>대구동인동더샵</t>
  </si>
  <si>
    <t>황금동 851-13 주거복합</t>
  </si>
  <si>
    <t>청구매일맨션 소규모재건축사업</t>
  </si>
  <si>
    <t>호반써밋더센트럴</t>
  </si>
  <si>
    <t>수성센트레빌어반포레(공사 재개 예정)</t>
  </si>
  <si>
    <t>침산공원 풀리비에 (노인복지주택)</t>
  </si>
  <si>
    <t>대구방촌동 LH참여형 가로주택</t>
  </si>
  <si>
    <t xml:space="preserve">신암동 삼정그린코아 더베스트 </t>
  </si>
  <si>
    <t>송현주공3단지 재건축 (지역난방사용)</t>
  </si>
  <si>
    <t>월성주공3단지 재건축</t>
    <phoneticPr fontId="95" type="noConversion"/>
  </si>
  <si>
    <t>2028년 공동주택 계약 및 공급 사업계획</t>
    <phoneticPr fontId="85" type="noConversion"/>
  </si>
  <si>
    <t>3. 개발계획</t>
    <phoneticPr fontId="84" type="noConversion"/>
  </si>
  <si>
    <t>범어동 174-1 주거복합(범어자이르네)</t>
  </si>
  <si>
    <t>범어동아이위시 주상복합</t>
  </si>
  <si>
    <t>동문동뉴스테이청년주택1</t>
  </si>
  <si>
    <t>동문동뉴스테이청년주택2</t>
  </si>
  <si>
    <t>경산2차 아이파크</t>
  </si>
  <si>
    <t>경산대임지구A-2블럭</t>
  </si>
  <si>
    <t>경산대임지구 B-3BL 라온프라이빗</t>
  </si>
  <si>
    <t>일반용(1)</t>
  </si>
  <si>
    <t>힐스테이트서대구역센트럴</t>
  </si>
  <si>
    <t>어나드범어 아파트</t>
  </si>
  <si>
    <t>더플러스요양원 외</t>
  </si>
  <si>
    <t>코어스톤</t>
  </si>
  <si>
    <t>해링턴플레이스반월당 어린이집 외</t>
  </si>
  <si>
    <t>대구교육학부모센터 외</t>
  </si>
  <si>
    <t>(주)영풍</t>
  </si>
  <si>
    <t>욱일기업</t>
  </si>
  <si>
    <t>안심3동 행정복지센터</t>
  </si>
  <si>
    <t>주식회사 글로리비스타</t>
  </si>
  <si>
    <t>대구가톨릭대학교</t>
  </si>
  <si>
    <t>미사용</t>
    <phoneticPr fontId="38" type="noConversion"/>
  </si>
  <si>
    <t>보일러 교체</t>
    <phoneticPr fontId="3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</si>
</sst>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1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_(* #,##0_);_(* \(#,##0\);_(* &quot;-&quot;??_);_(@_)"/>
    <numFmt numFmtId="177" formatCode="\(#,##0\)"/>
    <numFmt numFmtId="178" formatCode="0.0%"/>
    <numFmt numFmtId="179" formatCode="#,##0_ "/>
    <numFmt numFmtId="180" formatCode="#,##0.00&quot; ㎥&quot;"/>
    <numFmt numFmtId="181" formatCode="0.0_);[Red]\(0.0\)"/>
    <numFmt numFmtId="182" formatCode="0_);[Red]\(0\)"/>
    <numFmt numFmtId="183" formatCode="#,##0.0_ "/>
    <numFmt numFmtId="184" formatCode="#,##0\ "/>
    <numFmt numFmtId="185" formatCode="0&quot;년&quot;"/>
    <numFmt numFmtId="186" formatCode="0&quot;일&quot;"/>
    <numFmt numFmtId="187" formatCode="yyyy\ &quot;년&quot;\ \ m\ &quot;월&quot;\ \ d\ &quot;일&quot;\ "/>
    <numFmt numFmtId="188" formatCode="#&quot;월&quot;"/>
    <numFmt numFmtId="189" formatCode="&quot;( &quot;#&quot; )월분 판매량 현황표&quot;"/>
    <numFmt numFmtId="190" formatCode="_-* #,##0.0_-;\-* #,##0.0_-;_-* &quot;-&quot;_-;_-@_-"/>
    <numFmt numFmtId="191" formatCode="_-[$€-2]* #,##0.00_-;\-[$€-2]* #,##0.00_-;_-[$€-2]* &quot;-&quot;??_-"/>
    <numFmt numFmtId="192" formatCode="_-* #,##0.00_-;\-* #,##0.00_-;_-* &quot;-&quot;_-;_-@_-"/>
    <numFmt numFmtId="193" formatCode="#,##0.0\ "/>
    <numFmt numFmtId="194" formatCode="0.0_ "/>
    <numFmt numFmtId="195" formatCode="&quot;가감량: &quot;#,##0;&quot;가감량: &quot;\-#,##0"/>
    <numFmt numFmtId="196" formatCode="&quot;폐&quot;&quot;전&quot;#,##0"/>
    <numFmt numFmtId="197" formatCode="#,##0_);[Red]\(#,##0\)"/>
    <numFmt numFmtId="198" formatCode="#,##0.00&quot; MJ&quot;"/>
    <numFmt numFmtId="199" formatCode="##&quot;월&quot;"/>
    <numFmt numFmtId="200" formatCode="m&quot;/&quot;d;@"/>
    <numFmt numFmtId="201" formatCode="&quot;폐전 &quot;#"/>
    <numFmt numFmtId="202" formatCode="&quot;폐전 &quot;#0"/>
    <numFmt numFmtId="203" formatCode="#,##0,\ "/>
    <numFmt numFmtId="204" formatCode="#,##0.000_ "/>
    <numFmt numFmtId="205" formatCode="#,##0_);\(#,##0\)"/>
    <numFmt numFmtId="206" formatCode="_-* #,##0.0000_-;\-* #,##0.0000_-;_-* &quot;-&quot;_-;_-@_-"/>
    <numFmt numFmtId="207" formatCode="#,##0_ ;[Red]\-#,##0\ "/>
    <numFmt numFmtId="208" formatCode="0_ "/>
    <numFmt numFmtId="209" formatCode="yyyy&quot;년&quot;\ m&quot;월&quot;;@"/>
    <numFmt numFmtId="210" formatCode="0&quot;월&quot;"/>
    <numFmt numFmtId="211" formatCode="yyyy\.mm"/>
    <numFmt numFmtId="212" formatCode="&quot;(2025년 &quot;#&quot;월) 공급량 현황표&quot;"/>
    <numFmt numFmtId="213" formatCode="0.000%"/>
  </numFmts>
  <fonts count="140" x14ac:knownFonts="1">
    <font>
      <sz val="12"/>
      <name val="바탕체"/>
      <family val="1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바탕체"/>
      <family val="1"/>
      <charset val="129"/>
    </font>
    <font>
      <sz val="10"/>
      <name val="Arial"/>
      <family val="2"/>
    </font>
    <font>
      <sz val="8"/>
      <name val="바탕"/>
      <family val="1"/>
      <charset val="129"/>
    </font>
    <font>
      <sz val="12"/>
      <name val="굴림"/>
      <family val="3"/>
      <charset val="129"/>
    </font>
    <font>
      <sz val="12"/>
      <name val="굴림체"/>
      <family val="3"/>
      <charset val="129"/>
    </font>
    <font>
      <b/>
      <sz val="14"/>
      <name val="굴림체"/>
      <family val="3"/>
      <charset val="129"/>
    </font>
    <font>
      <b/>
      <sz val="22"/>
      <name val="굴림"/>
      <family val="3"/>
      <charset val="129"/>
    </font>
    <font>
      <sz val="10"/>
      <name val="굴림"/>
      <family val="3"/>
      <charset val="129"/>
    </font>
    <font>
      <b/>
      <sz val="12"/>
      <name val="굴림"/>
      <family val="3"/>
      <charset val="129"/>
    </font>
    <font>
      <b/>
      <sz val="10"/>
      <name val="굴림"/>
      <family val="3"/>
      <charset val="129"/>
    </font>
    <font>
      <sz val="9"/>
      <name val="굴림"/>
      <family val="3"/>
      <charset val="129"/>
    </font>
    <font>
      <sz val="9"/>
      <color indexed="12"/>
      <name val="굴림"/>
      <family val="3"/>
      <charset val="129"/>
    </font>
    <font>
      <sz val="9"/>
      <color indexed="10"/>
      <name val="굴림"/>
      <family val="3"/>
      <charset val="129"/>
    </font>
    <font>
      <b/>
      <sz val="11"/>
      <name val="굴림"/>
      <family val="3"/>
      <charset val="129"/>
    </font>
    <font>
      <sz val="11"/>
      <name val="굴림체"/>
      <family val="3"/>
      <charset val="129"/>
    </font>
    <font>
      <sz val="11"/>
      <color indexed="12"/>
      <name val="굴림체"/>
      <family val="3"/>
      <charset val="129"/>
    </font>
    <font>
      <sz val="11"/>
      <color indexed="8"/>
      <name val="굴림체"/>
      <family val="3"/>
      <charset val="129"/>
    </font>
    <font>
      <b/>
      <u val="double"/>
      <sz val="20"/>
      <name val="휴먼옛체"/>
      <family val="1"/>
      <charset val="129"/>
    </font>
    <font>
      <b/>
      <sz val="11"/>
      <name val="굴림체"/>
      <family val="3"/>
      <charset val="129"/>
    </font>
    <font>
      <sz val="13"/>
      <name val="굴림"/>
      <family val="3"/>
      <charset val="129"/>
    </font>
    <font>
      <sz val="13"/>
      <color indexed="12"/>
      <name val="굴림"/>
      <family val="3"/>
      <charset val="129"/>
    </font>
    <font>
      <sz val="13"/>
      <color indexed="10"/>
      <name val="굴림"/>
      <family val="3"/>
      <charset val="129"/>
    </font>
    <font>
      <sz val="11"/>
      <name val="돋움"/>
      <family val="3"/>
      <charset val="129"/>
    </font>
    <font>
      <b/>
      <sz val="24"/>
      <name val="굴림체"/>
      <family val="3"/>
      <charset val="129"/>
    </font>
    <font>
      <sz val="8"/>
      <name val="돋움"/>
      <family val="3"/>
      <charset val="129"/>
    </font>
    <font>
      <sz val="22"/>
      <name val="굴림체"/>
      <family val="3"/>
      <charset val="129"/>
    </font>
    <font>
      <sz val="10"/>
      <name val="굴림체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0"/>
      <color indexed="12"/>
      <name val="돋움"/>
      <family val="3"/>
      <charset val="129"/>
    </font>
    <font>
      <sz val="10"/>
      <color indexed="10"/>
      <name val="돋움"/>
      <family val="3"/>
      <charset val="129"/>
    </font>
    <font>
      <sz val="12"/>
      <name val="바탕체"/>
      <family val="1"/>
      <charset val="129"/>
    </font>
    <font>
      <u/>
      <sz val="12"/>
      <color indexed="12"/>
      <name val="바탕체"/>
      <family val="1"/>
      <charset val="129"/>
    </font>
    <font>
      <b/>
      <sz val="11"/>
      <color indexed="13"/>
      <name val="굴림"/>
      <family val="3"/>
      <charset val="129"/>
    </font>
    <font>
      <sz val="8"/>
      <name val="굴림"/>
      <family val="3"/>
      <charset val="129"/>
    </font>
    <font>
      <sz val="8"/>
      <name val="바탕체"/>
      <family val="1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0"/>
      <name val="굴림체"/>
      <family val="3"/>
      <charset val="129"/>
    </font>
    <font>
      <b/>
      <sz val="8"/>
      <name val="굴림체"/>
      <family val="3"/>
      <charset val="129"/>
    </font>
    <font>
      <b/>
      <sz val="10"/>
      <color indexed="12"/>
      <name val="돋움"/>
      <family val="3"/>
      <charset val="129"/>
    </font>
    <font>
      <b/>
      <sz val="10"/>
      <color indexed="10"/>
      <name val="돋움"/>
      <family val="3"/>
      <charset val="129"/>
    </font>
    <font>
      <u/>
      <sz val="8"/>
      <color indexed="12"/>
      <name val="굴림"/>
      <family val="3"/>
      <charset val="129"/>
    </font>
    <font>
      <sz val="6"/>
      <name val="굴림"/>
      <family val="3"/>
      <charset val="129"/>
    </font>
    <font>
      <b/>
      <u/>
      <sz val="20"/>
      <name val="돋움"/>
      <family val="3"/>
      <charset val="129"/>
    </font>
    <font>
      <u/>
      <sz val="10"/>
      <name val="돋움"/>
      <family val="3"/>
      <charset val="129"/>
    </font>
    <font>
      <sz val="11"/>
      <color indexed="81"/>
      <name val="돋움"/>
      <family val="3"/>
      <charset val="129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13"/>
      <color rgb="FFFF0000"/>
      <name val="굴림"/>
      <family val="3"/>
      <charset val="129"/>
    </font>
    <font>
      <sz val="11"/>
      <color rgb="FFFF0000"/>
      <name val="굴림체"/>
      <family val="3"/>
      <charset val="129"/>
    </font>
    <font>
      <sz val="10"/>
      <color rgb="FF0000FF"/>
      <name val="굴림체"/>
      <family val="3"/>
      <charset val="129"/>
    </font>
    <font>
      <sz val="9"/>
      <color rgb="FF0000FF"/>
      <name val="굴림"/>
      <family val="3"/>
      <charset val="129"/>
    </font>
    <font>
      <sz val="10"/>
      <color theme="1"/>
      <name val="굴림체"/>
      <family val="3"/>
      <charset val="129"/>
    </font>
    <font>
      <sz val="10"/>
      <color rgb="FFFF0000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9"/>
      <name val="굴림체"/>
      <family val="3"/>
      <charset val="129"/>
    </font>
    <font>
      <b/>
      <sz val="9"/>
      <name val="굴림"/>
      <family val="3"/>
      <charset val="129"/>
    </font>
    <font>
      <b/>
      <sz val="8"/>
      <name val="굴림"/>
      <family val="3"/>
      <charset val="129"/>
    </font>
    <font>
      <sz val="11"/>
      <name val="굴림"/>
      <family val="3"/>
      <charset val="129"/>
    </font>
    <font>
      <b/>
      <sz val="26"/>
      <name val="굴림체"/>
      <family val="3"/>
      <charset val="129"/>
    </font>
    <font>
      <sz val="8"/>
      <name val="맑은 고딕"/>
      <family val="3"/>
      <charset val="129"/>
    </font>
    <font>
      <sz val="8"/>
      <name val="굴림체"/>
      <family val="3"/>
      <charset val="129"/>
    </font>
    <font>
      <sz val="9"/>
      <color rgb="FFFF0000"/>
      <name val="굴림"/>
      <family val="3"/>
      <charset val="129"/>
    </font>
    <font>
      <b/>
      <sz val="11"/>
      <color rgb="FFFF0000"/>
      <name val="굴림"/>
      <family val="3"/>
      <charset val="129"/>
    </font>
    <font>
      <b/>
      <u val="double"/>
      <sz val="24"/>
      <name val="굴림체"/>
      <family val="3"/>
      <charset val="129"/>
    </font>
    <font>
      <b/>
      <u val="double"/>
      <sz val="22"/>
      <name val="굴림"/>
      <family val="3"/>
      <charset val="129"/>
    </font>
    <font>
      <sz val="10"/>
      <color indexed="10"/>
      <name val="굴림"/>
      <family val="3"/>
      <charset val="129"/>
    </font>
    <font>
      <b/>
      <sz val="12"/>
      <name val="굴림체"/>
      <family val="3"/>
      <charset val="129"/>
    </font>
    <font>
      <sz val="10"/>
      <color rgb="FF0000FF"/>
      <name val="돋움"/>
      <family val="3"/>
      <charset val="129"/>
    </font>
    <font>
      <b/>
      <sz val="13"/>
      <name val="굴림체"/>
      <family val="3"/>
      <charset val="129"/>
    </font>
    <font>
      <sz val="13"/>
      <name val="굴림체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b/>
      <sz val="9"/>
      <name val="돋움"/>
      <family val="3"/>
      <charset val="129"/>
    </font>
    <font>
      <sz val="12"/>
      <name val="돋움"/>
      <family val="3"/>
      <charset val="129"/>
    </font>
    <font>
      <sz val="12"/>
      <color rgb="FFFF0000"/>
      <name val="돋움"/>
      <family val="3"/>
      <charset val="129"/>
    </font>
    <font>
      <sz val="11"/>
      <color rgb="FF0000FF"/>
      <name val="굴림체"/>
      <family val="3"/>
      <charset val="129"/>
    </font>
    <font>
      <b/>
      <sz val="11"/>
      <color rgb="FFFF0000"/>
      <name val="굴림체"/>
      <family val="3"/>
      <charset val="129"/>
    </font>
    <font>
      <sz val="10"/>
      <color theme="1"/>
      <name val="돋움"/>
      <family val="3"/>
      <charset val="129"/>
    </font>
    <font>
      <sz val="11"/>
      <color theme="1"/>
      <name val="굴림체"/>
      <family val="3"/>
      <charset val="129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indexed="8"/>
      <name val="돋움"/>
      <family val="3"/>
      <charset val="129"/>
    </font>
    <font>
      <b/>
      <u/>
      <sz val="22"/>
      <color indexed="8"/>
      <name val="HY견명조"/>
      <family val="1"/>
      <charset val="129"/>
    </font>
    <font>
      <sz val="10"/>
      <color indexed="8"/>
      <name val="굴림체"/>
      <family val="3"/>
      <charset val="129"/>
    </font>
    <font>
      <sz val="14"/>
      <color rgb="FF0000FF"/>
      <name val="HY견명조"/>
      <family val="1"/>
      <charset val="129"/>
    </font>
    <font>
      <sz val="14"/>
      <color indexed="8"/>
      <name val="HY견명조"/>
      <family val="1"/>
      <charset val="129"/>
    </font>
    <font>
      <b/>
      <sz val="20"/>
      <color indexed="8"/>
      <name val="HY견명조"/>
      <family val="1"/>
      <charset val="129"/>
    </font>
    <font>
      <b/>
      <sz val="10"/>
      <color indexed="8"/>
      <name val="굴림체"/>
      <family val="3"/>
      <charset val="129"/>
    </font>
    <font>
      <b/>
      <sz val="12"/>
      <color indexed="8"/>
      <name val="굴림"/>
      <family val="3"/>
      <charset val="129"/>
    </font>
    <font>
      <sz val="8"/>
      <name val="맑은 고딕"/>
      <family val="3"/>
      <charset val="129"/>
      <scheme val="minor"/>
    </font>
    <font>
      <b/>
      <sz val="10"/>
      <color indexed="8"/>
      <name val="굴림"/>
      <family val="3"/>
      <charset val="129"/>
    </font>
    <font>
      <sz val="10"/>
      <color rgb="FFFF0000"/>
      <name val="굴림체"/>
      <family val="3"/>
      <charset val="129"/>
    </font>
    <font>
      <b/>
      <sz val="10"/>
      <color rgb="FF00B0F0"/>
      <name val="굴림"/>
      <family val="3"/>
      <charset val="129"/>
    </font>
    <font>
      <sz val="10"/>
      <color indexed="8"/>
      <name val="굴림"/>
      <family val="3"/>
      <charset val="129"/>
    </font>
    <font>
      <sz val="10"/>
      <color rgb="FFFF0000"/>
      <name val="굴림"/>
      <family val="3"/>
      <charset val="129"/>
    </font>
    <font>
      <b/>
      <sz val="9"/>
      <color indexed="8"/>
      <name val="굴림"/>
      <family val="3"/>
      <charset val="129"/>
    </font>
    <font>
      <sz val="9"/>
      <color indexed="8"/>
      <name val="굴림"/>
      <family val="3"/>
      <charset val="129"/>
    </font>
    <font>
      <b/>
      <sz val="10"/>
      <color rgb="FFFF0000"/>
      <name val="굴림체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2"/>
      <name val="맑은 고딕"/>
      <family val="3"/>
      <charset val="129"/>
      <scheme val="major"/>
    </font>
  </fonts>
  <fills count="5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0"/>
      </patternFill>
    </fill>
  </fills>
  <borders count="1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832">
    <xf numFmtId="0" fontId="0" fillId="0" borderId="0"/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191" fontId="34" fillId="0" borderId="0" applyFont="0" applyFill="0" applyBorder="0" applyAlignment="0" applyProtection="0"/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41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25" fillId="0" borderId="0"/>
    <xf numFmtId="0" fontId="54" fillId="0" borderId="0">
      <alignment vertical="center"/>
    </xf>
    <xf numFmtId="0" fontId="34" fillId="0" borderId="0"/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179" fontId="25" fillId="0" borderId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104" fillId="0" borderId="0" applyNumberFormat="0" applyFill="0" applyBorder="0" applyAlignment="0" applyProtection="0">
      <alignment vertical="center"/>
    </xf>
    <xf numFmtId="0" fontId="105" fillId="0" borderId="136" applyNumberFormat="0" applyFill="0" applyAlignment="0" applyProtection="0">
      <alignment vertical="center"/>
    </xf>
    <xf numFmtId="0" fontId="106" fillId="0" borderId="137" applyNumberFormat="0" applyFill="0" applyAlignment="0" applyProtection="0">
      <alignment vertical="center"/>
    </xf>
    <xf numFmtId="0" fontId="107" fillId="0" borderId="138" applyNumberFormat="0" applyFill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36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10" fillId="33" borderId="0" applyNumberFormat="0" applyBorder="0" applyAlignment="0" applyProtection="0">
      <alignment vertical="center"/>
    </xf>
    <xf numFmtId="0" fontId="111" fillId="35" borderId="131" applyNumberFormat="0" applyAlignment="0" applyProtection="0">
      <alignment vertical="center"/>
    </xf>
    <xf numFmtId="0" fontId="112" fillId="30" borderId="139" applyNumberFormat="0" applyAlignment="0" applyProtection="0">
      <alignment vertical="center"/>
    </xf>
    <xf numFmtId="0" fontId="113" fillId="30" borderId="131" applyNumberFormat="0" applyAlignment="0" applyProtection="0">
      <alignment vertical="center"/>
    </xf>
    <xf numFmtId="0" fontId="114" fillId="0" borderId="134" applyNumberFormat="0" applyFill="0" applyAlignment="0" applyProtection="0">
      <alignment vertical="center"/>
    </xf>
    <xf numFmtId="0" fontId="115" fillId="34" borderId="133" applyNumberFormat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135" applyNumberFormat="0" applyFill="0" applyAlignment="0" applyProtection="0">
      <alignment vertical="center"/>
    </xf>
    <xf numFmtId="0" fontId="119" fillId="24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19" fillId="18" borderId="0" applyNumberFormat="0" applyBorder="0" applyAlignment="0" applyProtection="0">
      <alignment vertical="center"/>
    </xf>
    <xf numFmtId="0" fontId="119" fillId="25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19" fillId="19" borderId="0" applyNumberFormat="0" applyBorder="0" applyAlignment="0" applyProtection="0">
      <alignment vertical="center"/>
    </xf>
    <xf numFmtId="0" fontId="119" fillId="26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19" fillId="20" borderId="0" applyNumberFormat="0" applyBorder="0" applyAlignment="0" applyProtection="0">
      <alignment vertical="center"/>
    </xf>
    <xf numFmtId="0" fontId="119" fillId="27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19" fillId="21" borderId="0" applyNumberFormat="0" applyBorder="0" applyAlignment="0" applyProtection="0">
      <alignment vertical="center"/>
    </xf>
    <xf numFmtId="0" fontId="119" fillId="28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19" fillId="22" borderId="0" applyNumberFormat="0" applyBorder="0" applyAlignment="0" applyProtection="0">
      <alignment vertical="center"/>
    </xf>
    <xf numFmtId="0" fontId="119" fillId="29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32" borderId="132" applyNumberFormat="0" applyFont="0" applyAlignment="0" applyProtection="0">
      <alignment vertical="center"/>
    </xf>
    <xf numFmtId="0" fontId="1" fillId="0" borderId="0">
      <alignment vertical="center"/>
    </xf>
    <xf numFmtId="0" fontId="120" fillId="33" borderId="0" applyNumberFormat="0" applyBorder="0" applyAlignment="0" applyProtection="0">
      <alignment vertical="center"/>
    </xf>
    <xf numFmtId="0" fontId="1" fillId="32" borderId="132" applyNumberFormat="0" applyFon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21" fillId="0" borderId="0"/>
    <xf numFmtId="41" fontId="54" fillId="0" borderId="0" applyFont="0" applyFill="0" applyBorder="0" applyAlignment="0" applyProtection="0">
      <alignment vertical="center"/>
    </xf>
    <xf numFmtId="42" fontId="54" fillId="0" borderId="0" applyFont="0" applyFill="0" applyBorder="0" applyAlignment="0" applyProtection="0">
      <alignment vertical="center"/>
    </xf>
  </cellStyleXfs>
  <cellXfs count="911">
    <xf numFmtId="0" fontId="0" fillId="0" borderId="0" xfId="0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7" fillId="2" borderId="0" xfId="0" applyFont="1" applyFill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176" fontId="7" fillId="0" borderId="0" xfId="0" applyNumberFormat="1" applyFont="1" applyAlignment="1">
      <alignment horizontal="centerContinuous" vertical="center"/>
    </xf>
    <xf numFmtId="176" fontId="7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41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179" fontId="10" fillId="0" borderId="0" xfId="0" applyNumberFormat="1" applyFont="1" applyAlignment="1">
      <alignment vertical="center"/>
    </xf>
    <xf numFmtId="182" fontId="10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top"/>
    </xf>
    <xf numFmtId="0" fontId="13" fillId="0" borderId="0" xfId="0" applyFont="1" applyAlignment="1">
      <alignment vertical="center"/>
    </xf>
    <xf numFmtId="179" fontId="13" fillId="0" borderId="0" xfId="0" applyNumberFormat="1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0" fillId="0" borderId="0" xfId="0" applyFont="1" applyAlignment="1">
      <alignment horizontal="centerContinuous" vertical="center"/>
    </xf>
    <xf numFmtId="179" fontId="10" fillId="0" borderId="0" xfId="0" applyNumberFormat="1" applyFont="1" applyAlignment="1">
      <alignment horizontal="centerContinuous" vertical="center"/>
    </xf>
    <xf numFmtId="0" fontId="17" fillId="0" borderId="0" xfId="0" applyFont="1" applyAlignment="1">
      <alignment vertical="center"/>
    </xf>
    <xf numFmtId="41" fontId="17" fillId="2" borderId="5" xfId="0" applyNumberFormat="1" applyFont="1" applyFill="1" applyBorder="1" applyAlignment="1" applyProtection="1">
      <alignment horizontal="left" vertical="center"/>
      <protection locked="0"/>
    </xf>
    <xf numFmtId="41" fontId="17" fillId="2" borderId="6" xfId="0" applyNumberFormat="1" applyFont="1" applyFill="1" applyBorder="1" applyAlignment="1" applyProtection="1">
      <alignment horizontal="center" vertical="center"/>
      <protection locked="0"/>
    </xf>
    <xf numFmtId="41" fontId="17" fillId="2" borderId="5" xfId="0" applyNumberFormat="1" applyFont="1" applyFill="1" applyBorder="1" applyAlignment="1">
      <alignment vertical="center"/>
    </xf>
    <xf numFmtId="41" fontId="17" fillId="2" borderId="5" xfId="0" applyNumberFormat="1" applyFont="1" applyFill="1" applyBorder="1" applyAlignment="1" applyProtection="1">
      <alignment horizontal="center" vertical="center"/>
      <protection locked="0"/>
    </xf>
    <xf numFmtId="41" fontId="17" fillId="2" borderId="5" xfId="0" applyNumberFormat="1" applyFont="1" applyFill="1" applyBorder="1" applyAlignment="1" applyProtection="1">
      <alignment vertical="center"/>
      <protection locked="0"/>
    </xf>
    <xf numFmtId="41" fontId="18" fillId="2" borderId="5" xfId="0" applyNumberFormat="1" applyFont="1" applyFill="1" applyBorder="1" applyAlignment="1" applyProtection="1">
      <alignment horizontal="left" vertical="center"/>
      <protection locked="0"/>
    </xf>
    <xf numFmtId="41" fontId="19" fillId="2" borderId="5" xfId="0" applyNumberFormat="1" applyFont="1" applyFill="1" applyBorder="1" applyAlignment="1" applyProtection="1">
      <alignment horizontal="center" vertical="center"/>
      <protection locked="0"/>
    </xf>
    <xf numFmtId="41" fontId="17" fillId="0" borderId="0" xfId="0" applyNumberFormat="1" applyFont="1" applyAlignment="1">
      <alignment vertical="center"/>
    </xf>
    <xf numFmtId="41" fontId="17" fillId="3" borderId="7" xfId="0" applyNumberFormat="1" applyFont="1" applyFill="1" applyBorder="1" applyAlignment="1" applyProtection="1">
      <alignment horizontal="center" vertical="center"/>
      <protection locked="0"/>
    </xf>
    <xf numFmtId="41" fontId="17" fillId="3" borderId="8" xfId="0" applyNumberFormat="1" applyFont="1" applyFill="1" applyBorder="1" applyAlignment="1" applyProtection="1">
      <alignment horizontal="center" vertical="center"/>
      <protection locked="0"/>
    </xf>
    <xf numFmtId="41" fontId="17" fillId="3" borderId="9" xfId="0" applyNumberFormat="1" applyFont="1" applyFill="1" applyBorder="1" applyAlignment="1">
      <alignment horizontal="center" vertical="center"/>
    </xf>
    <xf numFmtId="41" fontId="17" fillId="3" borderId="7" xfId="0" applyNumberFormat="1" applyFont="1" applyFill="1" applyBorder="1" applyAlignment="1" applyProtection="1">
      <alignment vertical="center"/>
      <protection locked="0"/>
    </xf>
    <xf numFmtId="41" fontId="17" fillId="3" borderId="10" xfId="0" applyNumberFormat="1" applyFont="1" applyFill="1" applyBorder="1" applyAlignment="1">
      <alignment horizontal="center" vertical="center"/>
    </xf>
    <xf numFmtId="187" fontId="7" fillId="2" borderId="0" xfId="0" applyNumberFormat="1" applyFont="1" applyFill="1" applyAlignment="1" applyProtection="1">
      <alignment horizontal="centerContinuous" vertical="center"/>
      <protection locked="0"/>
    </xf>
    <xf numFmtId="0" fontId="20" fillId="2" borderId="0" xfId="0" applyFont="1" applyFill="1" applyAlignment="1">
      <alignment horizontal="centerContinuous" vertical="center"/>
    </xf>
    <xf numFmtId="41" fontId="17" fillId="2" borderId="11" xfId="0" applyNumberFormat="1" applyFont="1" applyFill="1" applyBorder="1" applyAlignment="1" applyProtection="1">
      <alignment horizontal="center" vertical="center"/>
      <protection locked="0"/>
    </xf>
    <xf numFmtId="41" fontId="17" fillId="2" borderId="11" xfId="0" applyNumberFormat="1" applyFont="1" applyFill="1" applyBorder="1" applyAlignment="1">
      <alignment horizontal="center" vertical="center"/>
    </xf>
    <xf numFmtId="41" fontId="17" fillId="2" borderId="12" xfId="0" applyNumberFormat="1" applyFont="1" applyFill="1" applyBorder="1" applyAlignment="1">
      <alignment horizontal="center" vertical="center"/>
    </xf>
    <xf numFmtId="41" fontId="17" fillId="0" borderId="13" xfId="0" applyNumberFormat="1" applyFont="1" applyBorder="1" applyAlignment="1" applyProtection="1">
      <alignment vertical="center"/>
      <protection locked="0"/>
    </xf>
    <xf numFmtId="41" fontId="17" fillId="0" borderId="13" xfId="0" applyNumberFormat="1" applyFont="1" applyBorder="1" applyAlignment="1" applyProtection="1">
      <alignment horizontal="center" vertical="center"/>
      <protection locked="0"/>
    </xf>
    <xf numFmtId="41" fontId="17" fillId="0" borderId="14" xfId="0" applyNumberFormat="1" applyFont="1" applyBorder="1" applyAlignment="1" applyProtection="1">
      <alignment horizontal="center" vertical="center"/>
      <protection locked="0"/>
    </xf>
    <xf numFmtId="41" fontId="17" fillId="2" borderId="13" xfId="0" applyNumberFormat="1" applyFont="1" applyFill="1" applyBorder="1" applyAlignment="1" applyProtection="1">
      <alignment horizontal="center" vertical="center"/>
      <protection locked="0"/>
    </xf>
    <xf numFmtId="41" fontId="17" fillId="2" borderId="14" xfId="0" applyNumberFormat="1" applyFont="1" applyFill="1" applyBorder="1" applyAlignment="1">
      <alignment horizontal="center" vertical="center"/>
    </xf>
    <xf numFmtId="0" fontId="21" fillId="3" borderId="15" xfId="0" applyFont="1" applyFill="1" applyBorder="1" applyAlignment="1">
      <alignment horizontal="centerContinuous" vertical="center"/>
    </xf>
    <xf numFmtId="0" fontId="21" fillId="3" borderId="16" xfId="0" applyFont="1" applyFill="1" applyBorder="1" applyAlignment="1">
      <alignment horizontal="center" vertical="center"/>
    </xf>
    <xf numFmtId="0" fontId="21" fillId="3" borderId="18" xfId="0" applyFont="1" applyFill="1" applyBorder="1" applyAlignment="1">
      <alignment horizontal="centerContinuous" vertical="center"/>
    </xf>
    <xf numFmtId="0" fontId="21" fillId="3" borderId="19" xfId="0" applyFont="1" applyFill="1" applyBorder="1" applyAlignment="1">
      <alignment horizontal="center" vertical="center"/>
    </xf>
    <xf numFmtId="41" fontId="17" fillId="2" borderId="20" xfId="0" applyNumberFormat="1" applyFont="1" applyFill="1" applyBorder="1" applyAlignment="1" applyProtection="1">
      <alignment horizontal="center" vertical="center"/>
      <protection locked="0"/>
    </xf>
    <xf numFmtId="41" fontId="18" fillId="2" borderId="0" xfId="0" applyNumberFormat="1" applyFont="1" applyFill="1" applyAlignment="1" applyProtection="1">
      <alignment vertical="center"/>
      <protection locked="0"/>
    </xf>
    <xf numFmtId="41" fontId="17" fillId="3" borderId="21" xfId="0" applyNumberFormat="1" applyFont="1" applyFill="1" applyBorder="1" applyAlignment="1" applyProtection="1">
      <alignment horizontal="center" vertical="center"/>
      <protection locked="0"/>
    </xf>
    <xf numFmtId="41" fontId="17" fillId="0" borderId="22" xfId="0" applyNumberFormat="1" applyFont="1" applyBorder="1" applyAlignment="1" applyProtection="1">
      <alignment vertical="center"/>
      <protection locked="0"/>
    </xf>
    <xf numFmtId="41" fontId="17" fillId="2" borderId="0" xfId="0" applyNumberFormat="1" applyFont="1" applyFill="1" applyAlignment="1" applyProtection="1">
      <alignment horizontal="right" vertical="center"/>
      <protection locked="0"/>
    </xf>
    <xf numFmtId="41" fontId="17" fillId="3" borderId="21" xfId="0" applyNumberFormat="1" applyFont="1" applyFill="1" applyBorder="1" applyAlignment="1" applyProtection="1">
      <alignment vertical="center"/>
      <protection locked="0"/>
    </xf>
    <xf numFmtId="0" fontId="17" fillId="0" borderId="23" xfId="0" applyFont="1" applyBorder="1" applyAlignment="1">
      <alignment horizontal="center" vertical="center" wrapText="1"/>
    </xf>
    <xf numFmtId="0" fontId="17" fillId="3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7" fillId="3" borderId="26" xfId="0" applyFont="1" applyFill="1" applyBorder="1" applyAlignment="1">
      <alignment horizontal="center" vertical="center" wrapText="1"/>
    </xf>
    <xf numFmtId="0" fontId="17" fillId="0" borderId="25" xfId="0" applyFont="1" applyBorder="1" applyAlignment="1">
      <alignment horizontal="center" vertical="center" wrapText="1"/>
    </xf>
    <xf numFmtId="43" fontId="13" fillId="0" borderId="0" xfId="0" applyNumberFormat="1" applyFont="1" applyAlignment="1">
      <alignment vertical="center"/>
    </xf>
    <xf numFmtId="182" fontId="10" fillId="0" borderId="0" xfId="0" applyNumberFormat="1" applyFont="1" applyAlignment="1">
      <alignment horizontal="centerContinuous" vertical="center"/>
    </xf>
    <xf numFmtId="41" fontId="10" fillId="0" borderId="0" xfId="0" applyNumberFormat="1" applyFont="1" applyAlignment="1">
      <alignment horizontal="centerContinuous" vertical="center"/>
    </xf>
    <xf numFmtId="179" fontId="13" fillId="0" borderId="0" xfId="0" applyNumberFormat="1" applyFont="1" applyAlignment="1">
      <alignment horizontal="centerContinuous" vertical="center"/>
    </xf>
    <xf numFmtId="0" fontId="13" fillId="0" borderId="0" xfId="0" applyFont="1" applyAlignment="1" applyProtection="1">
      <alignment vertical="center"/>
      <protection locked="0"/>
    </xf>
    <xf numFmtId="0" fontId="16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179" fontId="13" fillId="0" borderId="0" xfId="0" applyNumberFormat="1" applyFont="1" applyAlignment="1" applyProtection="1">
      <alignment vertical="center"/>
      <protection locked="0"/>
    </xf>
    <xf numFmtId="181" fontId="15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Continuous" vertical="center"/>
    </xf>
    <xf numFmtId="179" fontId="22" fillId="0" borderId="0" xfId="0" applyNumberFormat="1" applyFont="1" applyAlignment="1" applyProtection="1">
      <alignment horizontal="centerContinuous" vertical="center"/>
      <protection locked="0"/>
    </xf>
    <xf numFmtId="179" fontId="23" fillId="0" borderId="0" xfId="0" applyNumberFormat="1" applyFont="1" applyAlignment="1" applyProtection="1">
      <alignment horizontal="centerContinuous" vertical="center"/>
      <protection locked="0"/>
    </xf>
    <xf numFmtId="179" fontId="22" fillId="0" borderId="0" xfId="0" applyNumberFormat="1" applyFont="1" applyAlignment="1">
      <alignment horizontal="centerContinuous" vertical="center"/>
    </xf>
    <xf numFmtId="181" fontId="24" fillId="0" borderId="0" xfId="0" applyNumberFormat="1" applyFont="1" applyAlignment="1">
      <alignment horizontal="centerContinuous" vertical="center"/>
    </xf>
    <xf numFmtId="179" fontId="14" fillId="0" borderId="0" xfId="0" applyNumberFormat="1" applyFont="1" applyAlignment="1" applyProtection="1">
      <alignment vertical="center"/>
      <protection locked="0"/>
    </xf>
    <xf numFmtId="41" fontId="13" fillId="0" borderId="0" xfId="0" applyNumberFormat="1" applyFont="1" applyAlignment="1">
      <alignment vertical="center"/>
    </xf>
    <xf numFmtId="0" fontId="6" fillId="0" borderId="0" xfId="0" quotePrefix="1" applyFont="1" applyAlignment="1">
      <alignment vertical="center"/>
    </xf>
    <xf numFmtId="0" fontId="30" fillId="0" borderId="0" xfId="0" applyFont="1" applyAlignment="1">
      <alignment vertical="center"/>
    </xf>
    <xf numFmtId="0" fontId="31" fillId="3" borderId="33" xfId="0" applyFont="1" applyFill="1" applyBorder="1" applyAlignment="1">
      <alignment horizontal="center" vertical="center"/>
    </xf>
    <xf numFmtId="0" fontId="31" fillId="3" borderId="34" xfId="0" applyFont="1" applyFill="1" applyBorder="1" applyAlignment="1">
      <alignment horizontal="centerContinuous" vertical="center"/>
    </xf>
    <xf numFmtId="0" fontId="31" fillId="3" borderId="35" xfId="0" applyFont="1" applyFill="1" applyBorder="1" applyAlignment="1">
      <alignment horizontal="centerContinuous" vertical="center"/>
    </xf>
    <xf numFmtId="0" fontId="31" fillId="3" borderId="36" xfId="0" applyFont="1" applyFill="1" applyBorder="1" applyAlignment="1">
      <alignment horizontal="center" vertical="center"/>
    </xf>
    <xf numFmtId="0" fontId="31" fillId="3" borderId="37" xfId="0" applyFont="1" applyFill="1" applyBorder="1" applyAlignment="1">
      <alignment horizontal="center" vertical="center"/>
    </xf>
    <xf numFmtId="179" fontId="30" fillId="0" borderId="38" xfId="562" applyNumberFormat="1" applyFont="1" applyFill="1" applyBorder="1" applyAlignment="1">
      <alignment vertical="center"/>
    </xf>
    <xf numFmtId="0" fontId="7" fillId="2" borderId="0" xfId="0" quotePrefix="1" applyFont="1" applyFill="1" applyAlignment="1">
      <alignment horizontal="centerContinuous" vertical="center"/>
    </xf>
    <xf numFmtId="41" fontId="30" fillId="0" borderId="0" xfId="0" applyNumberFormat="1" applyFont="1" applyAlignment="1">
      <alignment vertical="center"/>
    </xf>
    <xf numFmtId="41" fontId="13" fillId="0" borderId="0" xfId="562" applyFont="1" applyBorder="1" applyAlignment="1">
      <alignment vertical="center"/>
    </xf>
    <xf numFmtId="0" fontId="31" fillId="3" borderId="35" xfId="0" applyFont="1" applyFill="1" applyBorder="1" applyAlignment="1">
      <alignment horizontal="center" vertical="center"/>
    </xf>
    <xf numFmtId="0" fontId="31" fillId="3" borderId="19" xfId="0" applyFont="1" applyFill="1" applyBorder="1" applyAlignment="1">
      <alignment horizontal="center" vertical="center"/>
    </xf>
    <xf numFmtId="41" fontId="30" fillId="0" borderId="0" xfId="562" applyFont="1" applyFill="1" applyBorder="1" applyAlignment="1">
      <alignment horizontal="center" vertical="center"/>
    </xf>
    <xf numFmtId="190" fontId="30" fillId="0" borderId="0" xfId="562" applyNumberFormat="1" applyFont="1" applyBorder="1" applyAlignment="1">
      <alignment horizontal="center" vertical="center"/>
    </xf>
    <xf numFmtId="41" fontId="6" fillId="0" borderId="0" xfId="562" applyFont="1" applyBorder="1" applyAlignment="1">
      <alignment vertical="center"/>
    </xf>
    <xf numFmtId="41" fontId="10" fillId="0" borderId="0" xfId="562" applyFont="1" applyBorder="1" applyAlignment="1">
      <alignment vertical="center"/>
    </xf>
    <xf numFmtId="41" fontId="13" fillId="0" borderId="0" xfId="562" applyFont="1" applyAlignment="1">
      <alignment vertical="center"/>
    </xf>
    <xf numFmtId="41" fontId="10" fillId="0" borderId="0" xfId="562" applyFont="1" applyAlignment="1">
      <alignment vertical="center"/>
    </xf>
    <xf numFmtId="41" fontId="14" fillId="0" borderId="0" xfId="562" applyFont="1" applyBorder="1" applyAlignment="1">
      <alignment vertical="center"/>
    </xf>
    <xf numFmtId="41" fontId="23" fillId="0" borderId="0" xfId="562" applyFont="1" applyBorder="1" applyAlignment="1">
      <alignment horizontal="centerContinuous" vertical="center"/>
    </xf>
    <xf numFmtId="41" fontId="6" fillId="0" borderId="0" xfId="562" applyFont="1" applyAlignment="1">
      <alignment vertical="center"/>
    </xf>
    <xf numFmtId="178" fontId="13" fillId="0" borderId="0" xfId="506" applyNumberFormat="1" applyFont="1" applyBorder="1" applyAlignment="1">
      <alignment vertical="center"/>
    </xf>
    <xf numFmtId="41" fontId="10" fillId="0" borderId="0" xfId="562" applyFont="1" applyBorder="1" applyAlignment="1">
      <alignment horizontal="centerContinuous" vertical="center"/>
    </xf>
    <xf numFmtId="0" fontId="30" fillId="0" borderId="39" xfId="0" applyFont="1" applyBorder="1" applyAlignment="1">
      <alignment horizontal="center" vertical="center"/>
    </xf>
    <xf numFmtId="184" fontId="30" fillId="0" borderId="31" xfId="562" applyNumberFormat="1" applyFont="1" applyFill="1" applyBorder="1" applyAlignment="1">
      <alignment horizontal="right" vertical="center"/>
    </xf>
    <xf numFmtId="184" fontId="32" fillId="0" borderId="31" xfId="562" applyNumberFormat="1" applyFont="1" applyFill="1" applyBorder="1" applyAlignment="1">
      <alignment horizontal="right" vertical="center"/>
    </xf>
    <xf numFmtId="183" fontId="33" fillId="0" borderId="31" xfId="0" applyNumberFormat="1" applyFont="1" applyBorder="1" applyAlignment="1">
      <alignment horizontal="right" vertical="center"/>
    </xf>
    <xf numFmtId="184" fontId="30" fillId="0" borderId="31" xfId="0" applyNumberFormat="1" applyFont="1" applyBorder="1" applyAlignment="1">
      <alignment horizontal="right" vertical="center"/>
    </xf>
    <xf numFmtId="184" fontId="32" fillId="0" borderId="31" xfId="0" applyNumberFormat="1" applyFont="1" applyBorder="1" applyAlignment="1">
      <alignment horizontal="right" vertical="center"/>
    </xf>
    <xf numFmtId="179" fontId="32" fillId="0" borderId="38" xfId="562" applyNumberFormat="1" applyFont="1" applyFill="1" applyBorder="1" applyAlignment="1">
      <alignment vertical="center"/>
    </xf>
    <xf numFmtId="184" fontId="30" fillId="0" borderId="0" xfId="0" applyNumberFormat="1" applyFont="1" applyAlignment="1">
      <alignment vertical="center"/>
    </xf>
    <xf numFmtId="0" fontId="13" fillId="0" borderId="27" xfId="0" applyFont="1" applyBorder="1" applyAlignment="1">
      <alignment horizontal="center" vertical="center" shrinkToFit="1"/>
    </xf>
    <xf numFmtId="41" fontId="13" fillId="0" borderId="43" xfId="0" applyNumberFormat="1" applyFont="1" applyBorder="1" applyAlignment="1">
      <alignment horizontal="center" vertical="center" shrinkToFit="1"/>
    </xf>
    <xf numFmtId="41" fontId="13" fillId="0" borderId="32" xfId="0" applyNumberFormat="1" applyFont="1" applyBorder="1" applyAlignment="1">
      <alignment horizontal="center" vertical="center" shrinkToFit="1"/>
    </xf>
    <xf numFmtId="41" fontId="13" fillId="0" borderId="44" xfId="0" applyNumberFormat="1" applyFont="1" applyBorder="1" applyAlignment="1">
      <alignment horizontal="center" vertical="center" shrinkToFit="1"/>
    </xf>
    <xf numFmtId="41" fontId="13" fillId="0" borderId="45" xfId="0" applyNumberFormat="1" applyFont="1" applyBorder="1" applyAlignment="1">
      <alignment horizontal="center" vertical="center" shrinkToFit="1"/>
    </xf>
    <xf numFmtId="179" fontId="6" fillId="0" borderId="0" xfId="0" applyNumberFormat="1" applyFont="1" applyAlignment="1">
      <alignment vertical="center"/>
    </xf>
    <xf numFmtId="179" fontId="29" fillId="0" borderId="0" xfId="0" applyNumberFormat="1" applyFont="1" applyAlignment="1">
      <alignment vertical="center"/>
    </xf>
    <xf numFmtId="0" fontId="29" fillId="0" borderId="0" xfId="0" applyFont="1" applyAlignment="1">
      <alignment vertical="center"/>
    </xf>
    <xf numFmtId="43" fontId="30" fillId="0" borderId="0" xfId="0" applyNumberFormat="1" applyFont="1" applyAlignment="1">
      <alignment horizontal="center" vertical="center"/>
    </xf>
    <xf numFmtId="0" fontId="36" fillId="0" borderId="0" xfId="0" applyFont="1" applyAlignment="1">
      <alignment vertical="center"/>
    </xf>
    <xf numFmtId="181" fontId="10" fillId="0" borderId="0" xfId="0" applyNumberFormat="1" applyFont="1" applyAlignment="1">
      <alignment vertical="center"/>
    </xf>
    <xf numFmtId="9" fontId="10" fillId="0" borderId="0" xfId="506" applyFont="1" applyBorder="1" applyAlignment="1">
      <alignment vertical="center"/>
    </xf>
    <xf numFmtId="184" fontId="17" fillId="2" borderId="47" xfId="0" applyNumberFormat="1" applyFont="1" applyFill="1" applyBorder="1" applyAlignment="1" applyProtection="1">
      <alignment vertical="center"/>
      <protection locked="0"/>
    </xf>
    <xf numFmtId="184" fontId="17" fillId="2" borderId="48" xfId="0" applyNumberFormat="1" applyFont="1" applyFill="1" applyBorder="1" applyAlignment="1" applyProtection="1">
      <alignment vertical="center"/>
      <protection locked="0"/>
    </xf>
    <xf numFmtId="184" fontId="17" fillId="2" borderId="48" xfId="0" applyNumberFormat="1" applyFont="1" applyFill="1" applyBorder="1" applyAlignment="1">
      <alignment vertical="center"/>
    </xf>
    <xf numFmtId="184" fontId="17" fillId="0" borderId="49" xfId="0" applyNumberFormat="1" applyFont="1" applyBorder="1" applyAlignment="1" applyProtection="1">
      <alignment vertical="center"/>
      <protection locked="0"/>
    </xf>
    <xf numFmtId="0" fontId="13" fillId="0" borderId="50" xfId="0" applyFont="1" applyBorder="1" applyAlignment="1">
      <alignment horizontal="center" vertical="center" shrinkToFit="1"/>
    </xf>
    <xf numFmtId="0" fontId="26" fillId="0" borderId="0" xfId="0" applyFont="1" applyAlignment="1">
      <alignment horizontal="centerContinuous" vertical="center"/>
    </xf>
    <xf numFmtId="0" fontId="17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41" fontId="12" fillId="0" borderId="0" xfId="562" applyFont="1" applyFill="1" applyAlignment="1">
      <alignment vertical="center"/>
    </xf>
    <xf numFmtId="9" fontId="10" fillId="0" borderId="0" xfId="506" applyFont="1" applyBorder="1" applyAlignment="1">
      <alignment horizontal="centerContinuous" vertical="center"/>
    </xf>
    <xf numFmtId="192" fontId="30" fillId="0" borderId="0" xfId="562" applyNumberFormat="1" applyFont="1" applyBorder="1" applyAlignment="1">
      <alignment horizontal="center" vertical="center"/>
    </xf>
    <xf numFmtId="41" fontId="7" fillId="2" borderId="0" xfId="0" applyNumberFormat="1" applyFont="1" applyFill="1" applyAlignment="1">
      <alignment horizontal="centerContinuous" vertical="center"/>
    </xf>
    <xf numFmtId="41" fontId="17" fillId="3" borderId="7" xfId="562" applyFont="1" applyFill="1" applyBorder="1" applyAlignment="1" applyProtection="1">
      <alignment vertical="center"/>
      <protection locked="0"/>
    </xf>
    <xf numFmtId="43" fontId="16" fillId="0" borderId="0" xfId="0" applyNumberFormat="1" applyFont="1" applyAlignment="1">
      <alignment vertical="center"/>
    </xf>
    <xf numFmtId="9" fontId="37" fillId="0" borderId="0" xfId="506" applyFont="1" applyBorder="1" applyAlignment="1">
      <alignment vertical="center"/>
    </xf>
    <xf numFmtId="0" fontId="31" fillId="0" borderId="0" xfId="0" applyFont="1" applyAlignment="1">
      <alignment vertical="center"/>
    </xf>
    <xf numFmtId="0" fontId="30" fillId="0" borderId="0" xfId="0" applyFont="1" applyAlignment="1">
      <alignment horizontal="right" vertical="center"/>
    </xf>
    <xf numFmtId="184" fontId="30" fillId="0" borderId="54" xfId="0" applyNumberFormat="1" applyFont="1" applyBorder="1" applyAlignment="1">
      <alignment horizontal="right" vertical="center"/>
    </xf>
    <xf numFmtId="193" fontId="33" fillId="0" borderId="54" xfId="506" applyNumberFormat="1" applyFont="1" applyFill="1" applyBorder="1" applyAlignment="1">
      <alignment horizontal="right" vertical="center"/>
    </xf>
    <xf numFmtId="193" fontId="33" fillId="0" borderId="51" xfId="506" applyNumberFormat="1" applyFont="1" applyFill="1" applyBorder="1" applyAlignment="1">
      <alignment horizontal="right" vertical="center"/>
    </xf>
    <xf numFmtId="0" fontId="31" fillId="4" borderId="61" xfId="0" applyFont="1" applyFill="1" applyBorder="1" applyAlignment="1">
      <alignment horizontal="centerContinuous" vertical="center"/>
    </xf>
    <xf numFmtId="0" fontId="31" fillId="4" borderId="35" xfId="0" applyFont="1" applyFill="1" applyBorder="1" applyAlignment="1">
      <alignment horizontal="centerContinuous" vertical="center"/>
    </xf>
    <xf numFmtId="0" fontId="31" fillId="4" borderId="62" xfId="0" applyFont="1" applyFill="1" applyBorder="1" applyAlignment="1">
      <alignment horizontal="centerContinuous" vertical="center"/>
    </xf>
    <xf numFmtId="0" fontId="31" fillId="4" borderId="63" xfId="0" applyFont="1" applyFill="1" applyBorder="1" applyAlignment="1">
      <alignment horizontal="center" vertical="center"/>
    </xf>
    <xf numFmtId="0" fontId="31" fillId="4" borderId="37" xfId="0" applyFont="1" applyFill="1" applyBorder="1" applyAlignment="1">
      <alignment horizontal="center" vertical="center" wrapText="1"/>
    </xf>
    <xf numFmtId="0" fontId="31" fillId="4" borderId="37" xfId="0" applyFont="1" applyFill="1" applyBorder="1" applyAlignment="1">
      <alignment horizontal="center" vertical="center"/>
    </xf>
    <xf numFmtId="0" fontId="31" fillId="4" borderId="64" xfId="0" applyFont="1" applyFill="1" applyBorder="1" applyAlignment="1">
      <alignment horizontal="center" vertical="center" wrapText="1"/>
    </xf>
    <xf numFmtId="41" fontId="6" fillId="0" borderId="0" xfId="562" applyFont="1" applyAlignment="1">
      <alignment vertical="center" shrinkToFit="1"/>
    </xf>
    <xf numFmtId="0" fontId="6" fillId="0" borderId="0" xfId="0" applyFont="1" applyAlignment="1">
      <alignment vertical="center" shrinkToFit="1"/>
    </xf>
    <xf numFmtId="10" fontId="6" fillId="0" borderId="0" xfId="506" applyNumberFormat="1" applyFont="1" applyAlignment="1">
      <alignment vertical="center" shrinkToFit="1"/>
    </xf>
    <xf numFmtId="0" fontId="30" fillId="0" borderId="0" xfId="0" applyFont="1" applyAlignment="1">
      <alignment horizontal="center" vertical="center"/>
    </xf>
    <xf numFmtId="0" fontId="30" fillId="0" borderId="66" xfId="0" applyFont="1" applyBorder="1" applyAlignment="1">
      <alignment horizontal="center" vertical="center"/>
    </xf>
    <xf numFmtId="0" fontId="30" fillId="0" borderId="67" xfId="0" applyFont="1" applyBorder="1" applyAlignment="1">
      <alignment horizontal="center" vertical="center"/>
    </xf>
    <xf numFmtId="184" fontId="30" fillId="0" borderId="67" xfId="562" applyNumberFormat="1" applyFont="1" applyFill="1" applyBorder="1" applyAlignment="1">
      <alignment horizontal="right" vertical="center"/>
    </xf>
    <xf numFmtId="184" fontId="32" fillId="0" borderId="67" xfId="562" applyNumberFormat="1" applyFont="1" applyFill="1" applyBorder="1" applyAlignment="1">
      <alignment horizontal="right" vertical="center"/>
    </xf>
    <xf numFmtId="183" fontId="33" fillId="0" borderId="67" xfId="0" applyNumberFormat="1" applyFont="1" applyBorder="1" applyAlignment="1">
      <alignment horizontal="right" vertical="center"/>
    </xf>
    <xf numFmtId="184" fontId="30" fillId="0" borderId="67" xfId="0" applyNumberFormat="1" applyFont="1" applyBorder="1" applyAlignment="1">
      <alignment horizontal="right" vertical="center"/>
    </xf>
    <xf numFmtId="184" fontId="30" fillId="0" borderId="68" xfId="0" applyNumberFormat="1" applyFont="1" applyBorder="1" applyAlignment="1">
      <alignment horizontal="right" vertical="center"/>
    </xf>
    <xf numFmtId="193" fontId="33" fillId="0" borderId="68" xfId="506" applyNumberFormat="1" applyFont="1" applyFill="1" applyBorder="1" applyAlignment="1">
      <alignment horizontal="right" vertical="center"/>
    </xf>
    <xf numFmtId="193" fontId="33" fillId="0" borderId="69" xfId="506" applyNumberFormat="1" applyFont="1" applyFill="1" applyBorder="1" applyAlignment="1">
      <alignment horizontal="right" vertical="center"/>
    </xf>
    <xf numFmtId="183" fontId="33" fillId="0" borderId="38" xfId="562" applyNumberFormat="1" applyFont="1" applyFill="1" applyBorder="1" applyAlignment="1">
      <alignment vertical="center"/>
    </xf>
    <xf numFmtId="0" fontId="30" fillId="0" borderId="70" xfId="0" applyFont="1" applyBorder="1" applyAlignment="1">
      <alignment horizontal="right" vertical="center"/>
    </xf>
    <xf numFmtId="0" fontId="30" fillId="0" borderId="38" xfId="0" applyFont="1" applyBorder="1" applyAlignment="1">
      <alignment vertical="center"/>
    </xf>
    <xf numFmtId="0" fontId="30" fillId="0" borderId="38" xfId="0" applyFont="1" applyBorder="1" applyAlignment="1">
      <alignment horizontal="right" vertical="center"/>
    </xf>
    <xf numFmtId="184" fontId="30" fillId="0" borderId="38" xfId="0" applyNumberFormat="1" applyFont="1" applyBorder="1" applyAlignment="1">
      <alignment vertical="center"/>
    </xf>
    <xf numFmtId="184" fontId="30" fillId="0" borderId="38" xfId="0" applyNumberFormat="1" applyFont="1" applyBorder="1" applyAlignment="1">
      <alignment horizontal="right" vertical="center"/>
    </xf>
    <xf numFmtId="184" fontId="30" fillId="0" borderId="71" xfId="0" applyNumberFormat="1" applyFont="1" applyBorder="1" applyAlignment="1">
      <alignment vertical="center"/>
    </xf>
    <xf numFmtId="41" fontId="29" fillId="0" borderId="0" xfId="562" applyFont="1" applyFill="1" applyAlignment="1">
      <alignment vertical="center"/>
    </xf>
    <xf numFmtId="14" fontId="31" fillId="0" borderId="0" xfId="0" applyNumberFormat="1" applyFont="1" applyAlignment="1">
      <alignment vertical="center"/>
    </xf>
    <xf numFmtId="14" fontId="7" fillId="2" borderId="0" xfId="0" applyNumberFormat="1" applyFont="1" applyFill="1" applyAlignment="1">
      <alignment horizontal="centerContinuous" vertical="center"/>
    </xf>
    <xf numFmtId="0" fontId="29" fillId="0" borderId="0" xfId="0" applyFont="1" applyAlignment="1">
      <alignment horizontal="center" vertical="center"/>
    </xf>
    <xf numFmtId="0" fontId="31" fillId="3" borderId="78" xfId="0" applyFont="1" applyFill="1" applyBorder="1" applyAlignment="1">
      <alignment horizontal="centerContinuous" vertical="center"/>
    </xf>
    <xf numFmtId="0" fontId="31" fillId="3" borderId="79" xfId="0" applyFont="1" applyFill="1" applyBorder="1" applyAlignment="1">
      <alignment horizontal="center" vertical="center"/>
    </xf>
    <xf numFmtId="179" fontId="30" fillId="0" borderId="80" xfId="562" applyNumberFormat="1" applyFont="1" applyFill="1" applyBorder="1" applyAlignment="1">
      <alignment vertical="center"/>
    </xf>
    <xf numFmtId="184" fontId="30" fillId="0" borderId="81" xfId="0" applyNumberFormat="1" applyFont="1" applyBorder="1" applyAlignment="1">
      <alignment horizontal="right" vertical="center"/>
    </xf>
    <xf numFmtId="184" fontId="30" fillId="0" borderId="82" xfId="0" applyNumberFormat="1" applyFont="1" applyBorder="1" applyAlignment="1">
      <alignment horizontal="right" vertical="center"/>
    </xf>
    <xf numFmtId="41" fontId="6" fillId="0" borderId="0" xfId="0" applyNumberFormat="1" applyFont="1" applyAlignment="1">
      <alignment vertical="center"/>
    </xf>
    <xf numFmtId="184" fontId="31" fillId="38" borderId="31" xfId="562" applyNumberFormat="1" applyFont="1" applyFill="1" applyBorder="1" applyAlignment="1">
      <alignment horizontal="right" vertical="center"/>
    </xf>
    <xf numFmtId="179" fontId="31" fillId="3" borderId="3" xfId="562" applyNumberFormat="1" applyFont="1" applyFill="1" applyBorder="1" applyAlignment="1">
      <alignment vertical="center"/>
    </xf>
    <xf numFmtId="179" fontId="45" fillId="3" borderId="3" xfId="562" applyNumberFormat="1" applyFont="1" applyFill="1" applyBorder="1" applyAlignment="1">
      <alignment vertical="center"/>
    </xf>
    <xf numFmtId="183" fontId="46" fillId="3" borderId="3" xfId="562" applyNumberFormat="1" applyFont="1" applyFill="1" applyBorder="1" applyAlignment="1">
      <alignment vertical="center"/>
    </xf>
    <xf numFmtId="179" fontId="31" fillId="3" borderId="83" xfId="562" applyNumberFormat="1" applyFont="1" applyFill="1" applyBorder="1" applyAlignment="1">
      <alignment vertical="center"/>
    </xf>
    <xf numFmtId="179" fontId="31" fillId="3" borderId="84" xfId="562" applyNumberFormat="1" applyFont="1" applyFill="1" applyBorder="1" applyAlignment="1">
      <alignment vertical="center"/>
    </xf>
    <xf numFmtId="194" fontId="31" fillId="3" borderId="3" xfId="0" applyNumberFormat="1" applyFont="1" applyFill="1" applyBorder="1" applyAlignment="1">
      <alignment vertical="center"/>
    </xf>
    <xf numFmtId="0" fontId="54" fillId="0" borderId="0" xfId="758">
      <alignment vertical="center"/>
    </xf>
    <xf numFmtId="3" fontId="54" fillId="39" borderId="0" xfId="751" applyNumberFormat="1" applyFill="1">
      <alignment vertical="center"/>
    </xf>
    <xf numFmtId="0" fontId="30" fillId="39" borderId="0" xfId="0" applyFont="1" applyFill="1" applyAlignment="1">
      <alignment vertical="center"/>
    </xf>
    <xf numFmtId="41" fontId="47" fillId="0" borderId="0" xfId="762" applyNumberFormat="1" applyFont="1" applyBorder="1" applyAlignment="1" applyProtection="1">
      <alignment vertical="center"/>
    </xf>
    <xf numFmtId="182" fontId="48" fillId="0" borderId="0" xfId="0" applyNumberFormat="1" applyFont="1" applyAlignment="1">
      <alignment vertical="center"/>
    </xf>
    <xf numFmtId="0" fontId="54" fillId="0" borderId="0" xfId="744">
      <alignment vertical="center"/>
    </xf>
    <xf numFmtId="3" fontId="54" fillId="0" borderId="0" xfId="745" applyNumberFormat="1">
      <alignment vertical="center"/>
    </xf>
    <xf numFmtId="41" fontId="6" fillId="0" borderId="0" xfId="0" applyNumberFormat="1" applyFont="1" applyAlignment="1">
      <alignment horizontal="center" vertical="center"/>
    </xf>
    <xf numFmtId="179" fontId="72" fillId="0" borderId="0" xfId="0" applyNumberFormat="1" applyFont="1" applyAlignment="1" applyProtection="1">
      <alignment horizontal="centerContinuous" vertical="center"/>
      <protection locked="0"/>
    </xf>
    <xf numFmtId="41" fontId="13" fillId="0" borderId="0" xfId="0" applyNumberFormat="1" applyFont="1" applyAlignment="1" applyProtection="1">
      <alignment vertical="center"/>
      <protection locked="0"/>
    </xf>
    <xf numFmtId="0" fontId="54" fillId="0" borderId="0" xfId="748">
      <alignment vertical="center"/>
    </xf>
    <xf numFmtId="3" fontId="54" fillId="0" borderId="0" xfId="750" applyNumberFormat="1">
      <alignment vertical="center"/>
    </xf>
    <xf numFmtId="4" fontId="54" fillId="0" borderId="0" xfId="750" applyNumberFormat="1">
      <alignment vertical="center"/>
    </xf>
    <xf numFmtId="183" fontId="46" fillId="3" borderId="76" xfId="562" applyNumberFormat="1" applyFont="1" applyFill="1" applyBorder="1" applyAlignment="1">
      <alignment vertical="center"/>
    </xf>
    <xf numFmtId="179" fontId="6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top"/>
    </xf>
    <xf numFmtId="0" fontId="7" fillId="2" borderId="21" xfId="0" applyFont="1" applyFill="1" applyBorder="1" applyAlignment="1">
      <alignment horizontal="centerContinuous" vertical="center"/>
    </xf>
    <xf numFmtId="189" fontId="49" fillId="0" borderId="0" xfId="0" applyNumberFormat="1" applyFont="1" applyAlignment="1">
      <alignment horizontal="centerContinuous" vertical="center"/>
    </xf>
    <xf numFmtId="0" fontId="50" fillId="0" borderId="0" xfId="0" applyFont="1" applyAlignment="1">
      <alignment horizontal="centerContinuous" vertical="center"/>
    </xf>
    <xf numFmtId="184" fontId="17" fillId="2" borderId="55" xfId="0" applyNumberFormat="1" applyFont="1" applyFill="1" applyBorder="1" applyAlignment="1" applyProtection="1">
      <alignment vertical="center" shrinkToFit="1"/>
      <protection locked="0"/>
    </xf>
    <xf numFmtId="0" fontId="7" fillId="0" borderId="0" xfId="0" applyFont="1" applyAlignment="1">
      <alignment vertical="center" shrinkToFit="1"/>
    </xf>
    <xf numFmtId="0" fontId="29" fillId="2" borderId="82" xfId="0" applyFont="1" applyFill="1" applyBorder="1" applyAlignment="1">
      <alignment horizontal="center" vertical="center" wrapText="1"/>
    </xf>
    <xf numFmtId="177" fontId="76" fillId="2" borderId="99" xfId="0" applyNumberFormat="1" applyFont="1" applyFill="1" applyBorder="1" applyAlignment="1" applyProtection="1">
      <alignment horizontal="right" vertical="center"/>
      <protection locked="0"/>
    </xf>
    <xf numFmtId="177" fontId="76" fillId="2" borderId="31" xfId="0" applyNumberFormat="1" applyFont="1" applyFill="1" applyBorder="1" applyAlignment="1" applyProtection="1">
      <alignment horizontal="right" vertical="center"/>
      <protection locked="0"/>
    </xf>
    <xf numFmtId="177" fontId="76" fillId="2" borderId="54" xfId="0" applyNumberFormat="1" applyFont="1" applyFill="1" applyBorder="1" applyAlignment="1" applyProtection="1">
      <alignment horizontal="right" vertical="center"/>
      <protection locked="0"/>
    </xf>
    <xf numFmtId="177" fontId="76" fillId="2" borderId="51" xfId="0" applyNumberFormat="1" applyFont="1" applyFill="1" applyBorder="1" applyAlignment="1">
      <alignment horizontal="right" vertical="center"/>
    </xf>
    <xf numFmtId="177" fontId="76" fillId="0" borderId="31" xfId="0" applyNumberFormat="1" applyFont="1" applyBorder="1" applyAlignment="1" applyProtection="1">
      <alignment horizontal="right" vertical="center"/>
      <protection locked="0"/>
    </xf>
    <xf numFmtId="177" fontId="76" fillId="0" borderId="54" xfId="0" applyNumberFormat="1" applyFont="1" applyBorder="1" applyAlignment="1" applyProtection="1">
      <alignment horizontal="right" vertical="center"/>
      <protection locked="0"/>
    </xf>
    <xf numFmtId="177" fontId="29" fillId="0" borderId="54" xfId="0" applyNumberFormat="1" applyFont="1" applyBorder="1" applyAlignment="1" applyProtection="1">
      <alignment horizontal="right" vertical="center"/>
      <protection locked="0"/>
    </xf>
    <xf numFmtId="0" fontId="17" fillId="2" borderId="100" xfId="0" applyFont="1" applyFill="1" applyBorder="1" applyAlignment="1">
      <alignment horizontal="center" vertical="center"/>
    </xf>
    <xf numFmtId="41" fontId="17" fillId="2" borderId="74" xfId="0" applyNumberFormat="1" applyFont="1" applyFill="1" applyBorder="1" applyAlignment="1">
      <alignment horizontal="left" vertical="center"/>
    </xf>
    <xf numFmtId="41" fontId="18" fillId="2" borderId="5" xfId="0" applyNumberFormat="1" applyFont="1" applyFill="1" applyBorder="1" applyAlignment="1">
      <alignment vertical="center"/>
    </xf>
    <xf numFmtId="196" fontId="29" fillId="2" borderId="102" xfId="0" applyNumberFormat="1" applyFont="1" applyFill="1" applyBorder="1" applyAlignment="1" applyProtection="1">
      <alignment horizontal="center" vertical="center"/>
      <protection locked="0"/>
    </xf>
    <xf numFmtId="196" fontId="29" fillId="2" borderId="6" xfId="0" applyNumberFormat="1" applyFont="1" applyFill="1" applyBorder="1" applyAlignment="1" applyProtection="1">
      <alignment horizontal="center" vertical="center"/>
      <protection locked="0"/>
    </xf>
    <xf numFmtId="196" fontId="29" fillId="2" borderId="5" xfId="0" applyNumberFormat="1" applyFont="1" applyFill="1" applyBorder="1" applyAlignment="1" applyProtection="1">
      <alignment horizontal="center" vertical="center"/>
      <protection locked="0"/>
    </xf>
    <xf numFmtId="196" fontId="29" fillId="2" borderId="69" xfId="0" applyNumberFormat="1" applyFont="1" applyFill="1" applyBorder="1" applyAlignment="1" applyProtection="1">
      <alignment horizontal="center" vertical="center"/>
      <protection locked="0"/>
    </xf>
    <xf numFmtId="0" fontId="17" fillId="0" borderId="100" xfId="0" applyFont="1" applyBorder="1" applyAlignment="1">
      <alignment horizontal="center" vertical="center"/>
    </xf>
    <xf numFmtId="0" fontId="17" fillId="2" borderId="82" xfId="0" applyFont="1" applyFill="1" applyBorder="1" applyAlignment="1">
      <alignment horizontal="center" vertical="center" wrapText="1"/>
    </xf>
    <xf numFmtId="184" fontId="17" fillId="2" borderId="104" xfId="0" applyNumberFormat="1" applyFont="1" applyFill="1" applyBorder="1" applyAlignment="1" applyProtection="1">
      <alignment vertical="center"/>
      <protection locked="0"/>
    </xf>
    <xf numFmtId="184" fontId="17" fillId="2" borderId="31" xfId="0" applyNumberFormat="1" applyFont="1" applyFill="1" applyBorder="1" applyAlignment="1" applyProtection="1">
      <alignment vertical="center"/>
      <protection locked="0"/>
    </xf>
    <xf numFmtId="184" fontId="17" fillId="2" borderId="31" xfId="0" applyNumberFormat="1" applyFont="1" applyFill="1" applyBorder="1" applyAlignment="1">
      <alignment vertical="center"/>
    </xf>
    <xf numFmtId="184" fontId="17" fillId="0" borderId="31" xfId="0" applyNumberFormat="1" applyFont="1" applyBorder="1" applyAlignment="1" applyProtection="1">
      <alignment vertical="center"/>
      <protection locked="0"/>
    </xf>
    <xf numFmtId="184" fontId="17" fillId="0" borderId="51" xfId="0" applyNumberFormat="1" applyFont="1" applyBorder="1" applyAlignment="1" applyProtection="1">
      <alignment vertical="center"/>
      <protection locked="0"/>
    </xf>
    <xf numFmtId="196" fontId="29" fillId="2" borderId="105" xfId="0" applyNumberFormat="1" applyFont="1" applyFill="1" applyBorder="1" applyAlignment="1" applyProtection="1">
      <alignment horizontal="center" vertical="center"/>
      <protection locked="0"/>
    </xf>
    <xf numFmtId="196" fontId="29" fillId="2" borderId="67" xfId="0" applyNumberFormat="1" applyFont="1" applyFill="1" applyBorder="1" applyAlignment="1" applyProtection="1">
      <alignment horizontal="center" vertical="center"/>
      <protection locked="0"/>
    </xf>
    <xf numFmtId="184" fontId="17" fillId="2" borderId="106" xfId="0" applyNumberFormat="1" applyFont="1" applyFill="1" applyBorder="1" applyAlignment="1" applyProtection="1">
      <alignment vertical="center"/>
      <protection locked="0"/>
    </xf>
    <xf numFmtId="184" fontId="17" fillId="2" borderId="45" xfId="0" applyNumberFormat="1" applyFont="1" applyFill="1" applyBorder="1" applyAlignment="1" applyProtection="1">
      <alignment vertical="center"/>
      <protection locked="0"/>
    </xf>
    <xf numFmtId="184" fontId="17" fillId="2" borderId="45" xfId="0" applyNumberFormat="1" applyFont="1" applyFill="1" applyBorder="1" applyAlignment="1">
      <alignment vertical="center"/>
    </xf>
    <xf numFmtId="184" fontId="17" fillId="0" borderId="45" xfId="0" applyNumberFormat="1" applyFont="1" applyBorder="1" applyAlignment="1" applyProtection="1">
      <alignment vertical="center"/>
      <protection locked="0"/>
    </xf>
    <xf numFmtId="0" fontId="17" fillId="2" borderId="82" xfId="0" applyFont="1" applyFill="1" applyBorder="1" applyAlignment="1">
      <alignment horizontal="center" vertical="center"/>
    </xf>
    <xf numFmtId="0" fontId="30" fillId="39" borderId="0" xfId="0" applyFont="1" applyFill="1" applyAlignment="1">
      <alignment horizontal="center" vertical="center"/>
    </xf>
    <xf numFmtId="179" fontId="30" fillId="0" borderId="0" xfId="0" applyNumberFormat="1" applyFont="1" applyAlignment="1">
      <alignment vertical="center"/>
    </xf>
    <xf numFmtId="3" fontId="78" fillId="0" borderId="55" xfId="750" applyNumberFormat="1" applyFont="1" applyBorder="1" applyAlignment="1">
      <alignment horizontal="center" vertical="center"/>
    </xf>
    <xf numFmtId="41" fontId="78" fillId="0" borderId="55" xfId="562" applyFont="1" applyBorder="1" applyAlignment="1">
      <alignment horizontal="center" vertical="center"/>
    </xf>
    <xf numFmtId="4" fontId="78" fillId="0" borderId="55" xfId="750" applyNumberFormat="1" applyFont="1" applyBorder="1" applyAlignment="1">
      <alignment horizontal="center" vertical="center"/>
    </xf>
    <xf numFmtId="41" fontId="30" fillId="0" borderId="0" xfId="562" applyFont="1" applyAlignment="1">
      <alignment horizontal="center" vertical="center"/>
    </xf>
    <xf numFmtId="41" fontId="30" fillId="0" borderId="55" xfId="562" applyFont="1" applyBorder="1" applyAlignment="1">
      <alignment horizontal="center" vertical="center"/>
    </xf>
    <xf numFmtId="3" fontId="78" fillId="0" borderId="0" xfId="750" applyNumberFormat="1" applyFont="1">
      <alignment vertical="center"/>
    </xf>
    <xf numFmtId="4" fontId="78" fillId="0" borderId="0" xfId="750" applyNumberFormat="1" applyFont="1">
      <alignment vertical="center"/>
    </xf>
    <xf numFmtId="188" fontId="78" fillId="40" borderId="0" xfId="75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99" fontId="21" fillId="41" borderId="0" xfId="0" applyNumberFormat="1" applyFont="1" applyFill="1" applyAlignment="1">
      <alignment horizontal="center" vertical="center"/>
    </xf>
    <xf numFmtId="0" fontId="29" fillId="41" borderId="0" xfId="0" applyFont="1" applyFill="1" applyAlignment="1">
      <alignment vertical="center"/>
    </xf>
    <xf numFmtId="0" fontId="17" fillId="41" borderId="0" xfId="0" applyFont="1" applyFill="1" applyAlignment="1">
      <alignment vertical="center"/>
    </xf>
    <xf numFmtId="0" fontId="29" fillId="42" borderId="0" xfId="0" applyFont="1" applyFill="1" applyAlignment="1">
      <alignment vertical="center"/>
    </xf>
    <xf numFmtId="0" fontId="17" fillId="42" borderId="0" xfId="0" applyFont="1" applyFill="1" applyAlignment="1">
      <alignment vertical="center"/>
    </xf>
    <xf numFmtId="201" fontId="76" fillId="2" borderId="99" xfId="0" applyNumberFormat="1" applyFont="1" applyFill="1" applyBorder="1" applyAlignment="1" applyProtection="1">
      <alignment horizontal="center" vertical="center"/>
      <protection locked="0"/>
    </xf>
    <xf numFmtId="201" fontId="76" fillId="2" borderId="31" xfId="0" applyNumberFormat="1" applyFont="1" applyFill="1" applyBorder="1" applyAlignment="1" applyProtection="1">
      <alignment horizontal="center" vertical="center"/>
      <protection locked="0"/>
    </xf>
    <xf numFmtId="201" fontId="76" fillId="2" borderId="54" xfId="0" applyNumberFormat="1" applyFont="1" applyFill="1" applyBorder="1" applyAlignment="1" applyProtection="1">
      <alignment horizontal="center" vertical="center"/>
      <protection locked="0"/>
    </xf>
    <xf numFmtId="202" fontId="76" fillId="2" borderId="51" xfId="0" applyNumberFormat="1" applyFont="1" applyFill="1" applyBorder="1" applyAlignment="1" applyProtection="1">
      <alignment horizontal="center" vertical="center"/>
      <protection locked="0"/>
    </xf>
    <xf numFmtId="0" fontId="17" fillId="43" borderId="0" xfId="0" applyFont="1" applyFill="1" applyAlignment="1">
      <alignment horizontal="center" vertical="center"/>
    </xf>
    <xf numFmtId="0" fontId="29" fillId="40" borderId="0" xfId="0" applyFont="1" applyFill="1" applyAlignment="1">
      <alignment vertical="center"/>
    </xf>
    <xf numFmtId="179" fontId="25" fillId="0" borderId="0" xfId="761">
      <alignment vertical="center"/>
    </xf>
    <xf numFmtId="0" fontId="7" fillId="0" borderId="0" xfId="0" applyFont="1" applyAlignment="1">
      <alignment horizontal="center" vertical="center" shrinkToFit="1"/>
    </xf>
    <xf numFmtId="184" fontId="17" fillId="41" borderId="55" xfId="0" applyNumberFormat="1" applyFont="1" applyFill="1" applyBorder="1" applyAlignment="1" applyProtection="1">
      <alignment vertical="center" shrinkToFit="1"/>
      <protection locked="0"/>
    </xf>
    <xf numFmtId="185" fontId="6" fillId="0" borderId="0" xfId="0" applyNumberFormat="1" applyFont="1" applyAlignment="1" applyProtection="1">
      <alignment horizontal="right" vertical="center"/>
      <protection locked="0"/>
    </xf>
    <xf numFmtId="179" fontId="13" fillId="0" borderId="45" xfId="562" applyNumberFormat="1" applyFont="1" applyBorder="1" applyAlignment="1" applyProtection="1">
      <alignment horizontal="right" vertical="center"/>
      <protection locked="0"/>
    </xf>
    <xf numFmtId="179" fontId="13" fillId="0" borderId="8" xfId="562" applyNumberFormat="1" applyFont="1" applyBorder="1" applyAlignment="1" applyProtection="1">
      <alignment horizontal="right" vertical="center"/>
      <protection locked="0"/>
    </xf>
    <xf numFmtId="179" fontId="13" fillId="0" borderId="1" xfId="562" applyNumberFormat="1" applyFont="1" applyBorder="1" applyAlignment="1" applyProtection="1">
      <alignment horizontal="right" vertical="center"/>
      <protection locked="0"/>
    </xf>
    <xf numFmtId="179" fontId="13" fillId="0" borderId="94" xfId="562" applyNumberFormat="1" applyFont="1" applyBorder="1" applyAlignment="1" applyProtection="1">
      <alignment horizontal="right" vertical="center"/>
      <protection locked="0"/>
    </xf>
    <xf numFmtId="0" fontId="12" fillId="3" borderId="40" xfId="0" applyFont="1" applyFill="1" applyBorder="1" applyAlignment="1">
      <alignment horizontal="center" vertical="center" shrinkToFit="1"/>
    </xf>
    <xf numFmtId="0" fontId="80" fillId="3" borderId="28" xfId="0" applyFont="1" applyFill="1" applyBorder="1" applyAlignment="1">
      <alignment vertical="center"/>
    </xf>
    <xf numFmtId="0" fontId="12" fillId="3" borderId="29" xfId="0" applyFont="1" applyFill="1" applyBorder="1" applyAlignment="1">
      <alignment horizontal="right" vertical="center"/>
    </xf>
    <xf numFmtId="0" fontId="12" fillId="3" borderId="15" xfId="0" applyFont="1" applyFill="1" applyBorder="1" applyAlignment="1">
      <alignment horizontal="centerContinuous" vertical="center" shrinkToFit="1"/>
    </xf>
    <xf numFmtId="0" fontId="12" fillId="3" borderId="18" xfId="0" applyFont="1" applyFill="1" applyBorder="1" applyAlignment="1">
      <alignment horizontal="centerContinuous" vertical="center" shrinkToFit="1"/>
    </xf>
    <xf numFmtId="0" fontId="12" fillId="3" borderId="85" xfId="0" applyFont="1" applyFill="1" applyBorder="1" applyAlignment="1">
      <alignment horizontal="centerContinuous" vertical="center" shrinkToFit="1"/>
    </xf>
    <xf numFmtId="0" fontId="80" fillId="3" borderId="30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80" fillId="3" borderId="40" xfId="0" applyFont="1" applyFill="1" applyBorder="1" applyAlignment="1">
      <alignment horizontal="center" vertical="center" shrinkToFit="1"/>
    </xf>
    <xf numFmtId="0" fontId="80" fillId="3" borderId="40" xfId="0" applyFont="1" applyFill="1" applyBorder="1" applyAlignment="1">
      <alignment horizontal="center" vertical="center" wrapText="1" shrinkToFit="1"/>
    </xf>
    <xf numFmtId="0" fontId="80" fillId="3" borderId="41" xfId="0" applyFont="1" applyFill="1" applyBorder="1" applyAlignment="1">
      <alignment horizontal="center" vertical="center" shrinkToFit="1"/>
    </xf>
    <xf numFmtId="41" fontId="80" fillId="3" borderId="40" xfId="562" applyFont="1" applyFill="1" applyBorder="1" applyAlignment="1">
      <alignment horizontal="center" vertical="center" shrinkToFit="1"/>
    </xf>
    <xf numFmtId="0" fontId="81" fillId="3" borderId="37" xfId="0" applyFont="1" applyFill="1" applyBorder="1" applyAlignment="1">
      <alignment horizontal="centerContinuous" vertical="center" wrapText="1" shrinkToFit="1"/>
    </xf>
    <xf numFmtId="0" fontId="12" fillId="3" borderId="110" xfId="0" applyFont="1" applyFill="1" applyBorder="1" applyAlignment="1">
      <alignment horizontal="center" vertical="center" shrinkToFit="1"/>
    </xf>
    <xf numFmtId="41" fontId="12" fillId="3" borderId="40" xfId="562" applyFont="1" applyFill="1" applyBorder="1" applyAlignment="1">
      <alignment horizontal="center" vertical="center" shrinkToFit="1"/>
    </xf>
    <xf numFmtId="0" fontId="9" fillId="0" borderId="0" xfId="0" applyFont="1"/>
    <xf numFmtId="0" fontId="9" fillId="0" borderId="0" xfId="0" applyFont="1" applyAlignment="1">
      <alignment horizontal="centerContinuous"/>
    </xf>
    <xf numFmtId="0" fontId="82" fillId="0" borderId="0" xfId="0" applyFont="1" applyAlignment="1">
      <alignment vertical="center"/>
    </xf>
    <xf numFmtId="0" fontId="83" fillId="0" borderId="0" xfId="752" applyFont="1" applyAlignment="1">
      <alignment horizontal="centerContinuous" vertical="center"/>
    </xf>
    <xf numFmtId="0" fontId="28" fillId="0" borderId="0" xfId="752" applyFont="1" applyAlignment="1">
      <alignment horizontal="centerContinuous" vertical="center"/>
    </xf>
    <xf numFmtId="0" fontId="17" fillId="0" borderId="0" xfId="752" applyFont="1" applyAlignment="1">
      <alignment horizontal="centerContinuous" vertical="center"/>
    </xf>
    <xf numFmtId="0" fontId="17" fillId="0" borderId="0" xfId="752" applyFont="1" applyAlignment="1">
      <alignment vertical="center"/>
    </xf>
    <xf numFmtId="179" fontId="17" fillId="0" borderId="0" xfId="752" applyNumberFormat="1" applyFont="1" applyAlignment="1">
      <alignment vertical="center"/>
    </xf>
    <xf numFmtId="0" fontId="17" fillId="0" borderId="0" xfId="752" applyFont="1" applyAlignment="1">
      <alignment horizontal="right" vertical="center"/>
    </xf>
    <xf numFmtId="0" fontId="29" fillId="0" borderId="0" xfId="752" applyFont="1" applyAlignment="1">
      <alignment vertical="center"/>
    </xf>
    <xf numFmtId="41" fontId="29" fillId="0" borderId="0" xfId="763" applyFont="1" applyAlignment="1">
      <alignment vertical="center"/>
    </xf>
    <xf numFmtId="179" fontId="29" fillId="44" borderId="55" xfId="752" applyNumberFormat="1" applyFont="1" applyFill="1" applyBorder="1" applyAlignment="1">
      <alignment vertical="center"/>
    </xf>
    <xf numFmtId="183" fontId="29" fillId="0" borderId="0" xfId="752" applyNumberFormat="1" applyFont="1" applyAlignment="1">
      <alignment vertical="center"/>
    </xf>
    <xf numFmtId="183" fontId="85" fillId="0" borderId="0" xfId="752" applyNumberFormat="1" applyFont="1" applyAlignment="1">
      <alignment vertical="center"/>
    </xf>
    <xf numFmtId="204" fontId="85" fillId="0" borderId="0" xfId="752" applyNumberFormat="1" applyFont="1" applyAlignment="1">
      <alignment vertical="center"/>
    </xf>
    <xf numFmtId="205" fontId="82" fillId="0" borderId="0" xfId="0" applyNumberFormat="1" applyFont="1" applyAlignment="1">
      <alignment vertical="center"/>
    </xf>
    <xf numFmtId="0" fontId="29" fillId="44" borderId="55" xfId="752" applyFont="1" applyFill="1" applyBorder="1" applyAlignment="1">
      <alignment horizontal="centerContinuous" vertical="center"/>
    </xf>
    <xf numFmtId="183" fontId="29" fillId="44" borderId="55" xfId="752" applyNumberFormat="1" applyFont="1" applyFill="1" applyBorder="1" applyAlignment="1">
      <alignment horizontal="centerContinuous" vertical="center"/>
    </xf>
    <xf numFmtId="179" fontId="29" fillId="0" borderId="55" xfId="752" applyNumberFormat="1" applyFont="1" applyBorder="1" applyAlignment="1">
      <alignment vertical="center"/>
    </xf>
    <xf numFmtId="203" fontId="29" fillId="0" borderId="55" xfId="752" applyNumberFormat="1" applyFont="1" applyBorder="1" applyAlignment="1">
      <alignment vertical="center"/>
    </xf>
    <xf numFmtId="197" fontId="82" fillId="0" borderId="55" xfId="0" applyNumberFormat="1" applyFont="1" applyBorder="1" applyAlignment="1">
      <alignment vertical="center"/>
    </xf>
    <xf numFmtId="41" fontId="29" fillId="0" borderId="107" xfId="562" applyFont="1" applyFill="1" applyBorder="1" applyAlignment="1">
      <alignment horizontal="centerContinuous" vertical="center"/>
    </xf>
    <xf numFmtId="41" fontId="29" fillId="0" borderId="0" xfId="562" applyFont="1" applyFill="1" applyBorder="1" applyAlignment="1">
      <alignment horizontal="centerContinuous" vertical="center"/>
    </xf>
    <xf numFmtId="41" fontId="29" fillId="0" borderId="0" xfId="562" applyFont="1" applyFill="1" applyBorder="1" applyAlignment="1">
      <alignment vertical="center"/>
    </xf>
    <xf numFmtId="0" fontId="29" fillId="0" borderId="55" xfId="0" applyFont="1" applyBorder="1" applyAlignment="1">
      <alignment horizontal="centerContinuous" vertical="center"/>
    </xf>
    <xf numFmtId="0" fontId="29" fillId="0" borderId="55" xfId="0" applyFont="1" applyBorder="1" applyAlignment="1">
      <alignment vertical="center"/>
    </xf>
    <xf numFmtId="188" fontId="29" fillId="0" borderId="55" xfId="0" applyNumberFormat="1" applyFont="1" applyBorder="1" applyAlignment="1">
      <alignment horizontal="center" vertical="center"/>
    </xf>
    <xf numFmtId="0" fontId="29" fillId="0" borderId="55" xfId="0" applyFont="1" applyBorder="1" applyAlignment="1">
      <alignment horizontal="center" vertical="center"/>
    </xf>
    <xf numFmtId="0" fontId="29" fillId="40" borderId="55" xfId="0" applyFont="1" applyFill="1" applyBorder="1" applyAlignment="1">
      <alignment horizontal="center" vertical="center"/>
    </xf>
    <xf numFmtId="179" fontId="29" fillId="0" borderId="55" xfId="0" applyNumberFormat="1" applyFont="1" applyBorder="1" applyAlignment="1">
      <alignment vertical="center"/>
    </xf>
    <xf numFmtId="41" fontId="29" fillId="0" borderId="55" xfId="562" applyFont="1" applyFill="1" applyBorder="1" applyAlignment="1">
      <alignment vertical="center"/>
    </xf>
    <xf numFmtId="183" fontId="29" fillId="0" borderId="55" xfId="0" applyNumberFormat="1" applyFont="1" applyBorder="1" applyAlignment="1">
      <alignment vertical="center"/>
    </xf>
    <xf numFmtId="0" fontId="29" fillId="37" borderId="55" xfId="0" applyFont="1" applyFill="1" applyBorder="1" applyAlignment="1">
      <alignment horizontal="centerContinuous" vertical="center"/>
    </xf>
    <xf numFmtId="41" fontId="29" fillId="37" borderId="55" xfId="562" applyFont="1" applyFill="1" applyBorder="1" applyAlignment="1">
      <alignment horizontal="centerContinuous" vertical="center"/>
    </xf>
    <xf numFmtId="0" fontId="30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195" fontId="30" fillId="5" borderId="55" xfId="562" applyNumberFormat="1" applyFont="1" applyFill="1" applyBorder="1" applyAlignment="1">
      <alignment horizontal="center" vertical="center"/>
    </xf>
    <xf numFmtId="0" fontId="29" fillId="0" borderId="0" xfId="752" applyFont="1" applyAlignment="1">
      <alignment horizontal="center" vertical="center"/>
    </xf>
    <xf numFmtId="49" fontId="29" fillId="0" borderId="0" xfId="752" applyNumberFormat="1" applyFont="1" applyAlignment="1">
      <alignment horizontal="center" vertical="center"/>
    </xf>
    <xf numFmtId="49" fontId="29" fillId="0" borderId="0" xfId="752" applyNumberFormat="1" applyFont="1" applyAlignment="1">
      <alignment vertical="center"/>
    </xf>
    <xf numFmtId="41" fontId="29" fillId="0" borderId="55" xfId="562" applyFont="1" applyBorder="1" applyAlignment="1">
      <alignment vertical="center"/>
    </xf>
    <xf numFmtId="0" fontId="29" fillId="0" borderId="55" xfId="752" applyFont="1" applyBorder="1" applyAlignment="1">
      <alignment horizontal="centerContinuous" vertical="center"/>
    </xf>
    <xf numFmtId="0" fontId="29" fillId="0" borderId="44" xfId="752" applyFont="1" applyBorder="1" applyAlignment="1">
      <alignment horizontal="centerContinuous" vertical="center"/>
    </xf>
    <xf numFmtId="0" fontId="29" fillId="0" borderId="6" xfId="752" applyFont="1" applyBorder="1" applyAlignment="1">
      <alignment horizontal="centerContinuous" vertical="center"/>
    </xf>
    <xf numFmtId="0" fontId="29" fillId="0" borderId="32" xfId="752" applyFont="1" applyBorder="1" applyAlignment="1">
      <alignment horizontal="centerContinuous" vertical="center"/>
    </xf>
    <xf numFmtId="179" fontId="29" fillId="37" borderId="55" xfId="752" applyNumberFormat="1" applyFont="1" applyFill="1" applyBorder="1" applyAlignment="1">
      <alignment vertical="center"/>
    </xf>
    <xf numFmtId="179" fontId="29" fillId="41" borderId="55" xfId="752" applyNumberFormat="1" applyFont="1" applyFill="1" applyBorder="1" applyAlignment="1">
      <alignment vertical="center"/>
    </xf>
    <xf numFmtId="41" fontId="29" fillId="41" borderId="55" xfId="562" applyFont="1" applyFill="1" applyBorder="1" applyAlignment="1">
      <alignment vertical="center"/>
    </xf>
    <xf numFmtId="179" fontId="43" fillId="41" borderId="65" xfId="752" applyNumberFormat="1" applyFont="1" applyFill="1" applyBorder="1" applyAlignment="1">
      <alignment horizontal="center" vertical="center"/>
    </xf>
    <xf numFmtId="41" fontId="43" fillId="0" borderId="55" xfId="562" applyFont="1" applyBorder="1" applyAlignment="1">
      <alignment vertical="center"/>
    </xf>
    <xf numFmtId="41" fontId="29" fillId="37" borderId="55" xfId="562" applyFont="1" applyFill="1" applyBorder="1" applyAlignment="1">
      <alignment vertical="center"/>
    </xf>
    <xf numFmtId="41" fontId="43" fillId="37" borderId="55" xfId="562" applyFont="1" applyFill="1" applyBorder="1" applyAlignment="1">
      <alignment vertical="center"/>
    </xf>
    <xf numFmtId="41" fontId="29" fillId="44" borderId="55" xfId="562" applyFont="1" applyFill="1" applyBorder="1" applyAlignment="1">
      <alignment vertical="center"/>
    </xf>
    <xf numFmtId="0" fontId="29" fillId="39" borderId="44" xfId="752" applyFont="1" applyFill="1" applyBorder="1" applyAlignment="1">
      <alignment horizontal="centerContinuous" vertical="center"/>
    </xf>
    <xf numFmtId="0" fontId="29" fillId="39" borderId="6" xfId="752" applyFont="1" applyFill="1" applyBorder="1" applyAlignment="1">
      <alignment horizontal="centerContinuous" vertical="center"/>
    </xf>
    <xf numFmtId="0" fontId="29" fillId="39" borderId="32" xfId="752" applyFont="1" applyFill="1" applyBorder="1" applyAlignment="1">
      <alignment horizontal="centerContinuous" vertical="center"/>
    </xf>
    <xf numFmtId="0" fontId="82" fillId="0" borderId="55" xfId="0" applyFont="1" applyBorder="1" applyAlignment="1">
      <alignment horizontal="centerContinuous" vertical="center"/>
    </xf>
    <xf numFmtId="0" fontId="13" fillId="0" borderId="55" xfId="0" applyFont="1" applyBorder="1" applyAlignment="1">
      <alignment horizontal="center" vertical="center" wrapText="1"/>
    </xf>
    <xf numFmtId="41" fontId="82" fillId="41" borderId="55" xfId="562" applyFont="1" applyFill="1" applyBorder="1" applyAlignment="1">
      <alignment vertical="center"/>
    </xf>
    <xf numFmtId="0" fontId="82" fillId="0" borderId="55" xfId="0" applyFont="1" applyBorder="1" applyAlignment="1">
      <alignment horizontal="center" vertical="center"/>
    </xf>
    <xf numFmtId="41" fontId="82" fillId="0" borderId="0" xfId="562" applyFont="1" applyAlignment="1">
      <alignment vertical="center"/>
    </xf>
    <xf numFmtId="0" fontId="29" fillId="44" borderId="55" xfId="752" applyFont="1" applyFill="1" applyBorder="1" applyAlignment="1">
      <alignment horizontal="center" vertical="center"/>
    </xf>
    <xf numFmtId="0" fontId="29" fillId="37" borderId="55" xfId="752" applyFont="1" applyFill="1" applyBorder="1" applyAlignment="1">
      <alignment horizontal="center" vertical="center"/>
    </xf>
    <xf numFmtId="41" fontId="75" fillId="0" borderId="57" xfId="562" applyFont="1" applyFill="1" applyBorder="1" applyAlignment="1" applyProtection="1">
      <alignment vertical="center" shrinkToFit="1"/>
      <protection locked="0"/>
    </xf>
    <xf numFmtId="41" fontId="13" fillId="0" borderId="57" xfId="562" applyFont="1" applyFill="1" applyBorder="1" applyAlignment="1">
      <alignment horizontal="right" vertical="center" shrinkToFit="1"/>
    </xf>
    <xf numFmtId="41" fontId="75" fillId="0" borderId="27" xfId="562" applyFont="1" applyFill="1" applyBorder="1" applyAlignment="1">
      <alignment vertical="center" shrinkToFit="1"/>
    </xf>
    <xf numFmtId="41" fontId="13" fillId="0" borderId="27" xfId="562" applyFont="1" applyFill="1" applyBorder="1" applyAlignment="1">
      <alignment horizontal="right" vertical="center" shrinkToFit="1"/>
    </xf>
    <xf numFmtId="41" fontId="75" fillId="0" borderId="32" xfId="562" applyFont="1" applyFill="1" applyBorder="1" applyAlignment="1">
      <alignment vertical="center" shrinkToFit="1"/>
    </xf>
    <xf numFmtId="41" fontId="13" fillId="0" borderId="32" xfId="562" applyFont="1" applyFill="1" applyBorder="1" applyAlignment="1">
      <alignment horizontal="right" vertical="center" shrinkToFit="1"/>
    </xf>
    <xf numFmtId="41" fontId="75" fillId="0" borderId="55" xfId="562" applyFont="1" applyFill="1" applyBorder="1" applyAlignment="1">
      <alignment vertical="center" shrinkToFit="1"/>
    </xf>
    <xf numFmtId="41" fontId="13" fillId="0" borderId="55" xfId="562" applyFont="1" applyFill="1" applyBorder="1" applyAlignment="1">
      <alignment horizontal="right" vertical="center" shrinkToFit="1"/>
    </xf>
    <xf numFmtId="41" fontId="75" fillId="0" borderId="44" xfId="562" applyFont="1" applyFill="1" applyBorder="1" applyAlignment="1">
      <alignment vertical="center" shrinkToFit="1"/>
    </xf>
    <xf numFmtId="41" fontId="13" fillId="0" borderId="44" xfId="562" applyFont="1" applyFill="1" applyBorder="1" applyAlignment="1">
      <alignment horizontal="right" vertical="center" shrinkToFit="1"/>
    </xf>
    <xf numFmtId="41" fontId="75" fillId="0" borderId="59" xfId="562" applyFont="1" applyFill="1" applyBorder="1" applyAlignment="1">
      <alignment vertical="center" shrinkToFit="1"/>
    </xf>
    <xf numFmtId="41" fontId="13" fillId="0" borderId="59" xfId="562" applyFont="1" applyFill="1" applyBorder="1" applyAlignment="1">
      <alignment horizontal="right" vertical="center" shrinkToFit="1"/>
    </xf>
    <xf numFmtId="41" fontId="75" fillId="0" borderId="57" xfId="562" applyFont="1" applyBorder="1" applyAlignment="1" applyProtection="1">
      <alignment vertical="center" shrinkToFit="1"/>
      <protection locked="0"/>
    </xf>
    <xf numFmtId="41" fontId="75" fillId="0" borderId="27" xfId="562" applyFont="1" applyBorder="1" applyAlignment="1">
      <alignment vertical="center" shrinkToFit="1"/>
    </xf>
    <xf numFmtId="41" fontId="13" fillId="0" borderId="27" xfId="562" applyFont="1" applyBorder="1" applyAlignment="1" applyProtection="1">
      <alignment vertical="center"/>
      <protection locked="0"/>
    </xf>
    <xf numFmtId="41" fontId="13" fillId="0" borderId="32" xfId="562" applyFont="1" applyBorder="1" applyAlignment="1" applyProtection="1">
      <alignment vertical="center"/>
      <protection locked="0"/>
    </xf>
    <xf numFmtId="41" fontId="75" fillId="0" borderId="55" xfId="562" applyFont="1" applyBorder="1" applyAlignment="1">
      <alignment vertical="center" shrinkToFit="1"/>
    </xf>
    <xf numFmtId="41" fontId="13" fillId="0" borderId="55" xfId="562" applyFont="1" applyBorder="1" applyAlignment="1" applyProtection="1">
      <alignment vertical="center"/>
      <protection locked="0"/>
    </xf>
    <xf numFmtId="41" fontId="75" fillId="0" borderId="44" xfId="562" applyFont="1" applyBorder="1" applyAlignment="1">
      <alignment vertical="center" shrinkToFit="1"/>
    </xf>
    <xf numFmtId="41" fontId="13" fillId="0" borderId="44" xfId="562" applyFont="1" applyBorder="1" applyAlignment="1" applyProtection="1">
      <alignment vertical="center"/>
      <protection locked="0"/>
    </xf>
    <xf numFmtId="41" fontId="13" fillId="0" borderId="59" xfId="562" applyFont="1" applyBorder="1" applyAlignment="1" applyProtection="1">
      <alignment vertical="center"/>
      <protection locked="0"/>
    </xf>
    <xf numFmtId="0" fontId="37" fillId="0" borderId="55" xfId="0" applyFont="1" applyBorder="1" applyAlignment="1">
      <alignment horizontal="centerContinuous" vertical="center"/>
    </xf>
    <xf numFmtId="179" fontId="13" fillId="0" borderId="72" xfId="0" applyNumberFormat="1" applyFont="1" applyBorder="1" applyAlignment="1">
      <alignment horizontal="centerContinuous" vertical="center" shrinkToFit="1"/>
    </xf>
    <xf numFmtId="41" fontId="82" fillId="0" borderId="55" xfId="562" applyFont="1" applyFill="1" applyBorder="1" applyAlignment="1">
      <alignment vertical="center"/>
    </xf>
    <xf numFmtId="0" fontId="16" fillId="41" borderId="65" xfId="0" applyFont="1" applyFill="1" applyBorder="1" applyAlignment="1">
      <alignment horizontal="center" vertical="center"/>
    </xf>
    <xf numFmtId="0" fontId="10" fillId="0" borderId="55" xfId="0" applyFont="1" applyBorder="1" applyAlignment="1">
      <alignment horizontal="center" vertical="center" wrapText="1"/>
    </xf>
    <xf numFmtId="41" fontId="82" fillId="39" borderId="55" xfId="562" applyFont="1" applyFill="1" applyBorder="1" applyAlignment="1">
      <alignment vertical="center"/>
    </xf>
    <xf numFmtId="41" fontId="13" fillId="0" borderId="57" xfId="562" applyFont="1" applyFill="1" applyBorder="1" applyAlignment="1" applyProtection="1">
      <alignment vertical="center" shrinkToFit="1"/>
      <protection locked="0"/>
    </xf>
    <xf numFmtId="41" fontId="13" fillId="0" borderId="57" xfId="562" applyFont="1" applyBorder="1" applyAlignment="1" applyProtection="1">
      <alignment vertical="center"/>
      <protection locked="0"/>
    </xf>
    <xf numFmtId="41" fontId="13" fillId="0" borderId="38" xfId="562" applyFont="1" applyBorder="1" applyAlignment="1" applyProtection="1">
      <alignment horizontal="right" vertical="center"/>
      <protection locked="0"/>
    </xf>
    <xf numFmtId="178" fontId="13" fillId="0" borderId="58" xfId="506" applyNumberFormat="1" applyFont="1" applyFill="1" applyBorder="1" applyAlignment="1">
      <alignment horizontal="right" vertical="center" shrinkToFit="1"/>
    </xf>
    <xf numFmtId="41" fontId="13" fillId="0" borderId="57" xfId="562" applyFont="1" applyFill="1" applyBorder="1" applyAlignment="1">
      <alignment vertical="center" shrinkToFit="1"/>
    </xf>
    <xf numFmtId="41" fontId="13" fillId="0" borderId="44" xfId="562" applyFont="1" applyFill="1" applyBorder="1" applyAlignment="1" applyProtection="1">
      <alignment vertical="center" shrinkToFit="1"/>
      <protection locked="0"/>
    </xf>
    <xf numFmtId="178" fontId="13" fillId="0" borderId="27" xfId="506" applyNumberFormat="1" applyFont="1" applyFill="1" applyBorder="1" applyAlignment="1">
      <alignment horizontal="right" vertical="center" shrinkToFit="1"/>
    </xf>
    <xf numFmtId="41" fontId="13" fillId="0" borderId="27" xfId="562" applyFont="1" applyFill="1" applyBorder="1" applyAlignment="1">
      <alignment vertical="center" shrinkToFit="1"/>
    </xf>
    <xf numFmtId="41" fontId="13" fillId="0" borderId="45" xfId="562" applyFont="1" applyFill="1" applyBorder="1" applyAlignment="1" applyProtection="1">
      <alignment vertical="center" shrinkToFit="1"/>
      <protection locked="0"/>
    </xf>
    <xf numFmtId="178" fontId="13" fillId="0" borderId="32" xfId="506" applyNumberFormat="1" applyFont="1" applyFill="1" applyBorder="1" applyAlignment="1">
      <alignment horizontal="right" vertical="center" shrinkToFit="1"/>
    </xf>
    <xf numFmtId="41" fontId="13" fillId="0" borderId="32" xfId="562" applyFont="1" applyFill="1" applyBorder="1" applyAlignment="1">
      <alignment vertical="center" shrinkToFit="1"/>
    </xf>
    <xf numFmtId="41" fontId="13" fillId="0" borderId="55" xfId="562" applyFont="1" applyFill="1" applyBorder="1" applyAlignment="1" applyProtection="1">
      <alignment vertical="center" shrinkToFit="1"/>
      <protection locked="0"/>
    </xf>
    <xf numFmtId="178" fontId="13" fillId="0" borderId="56" xfId="506" applyNumberFormat="1" applyFont="1" applyFill="1" applyBorder="1" applyAlignment="1">
      <alignment horizontal="right" vertical="center" shrinkToFit="1"/>
    </xf>
    <xf numFmtId="41" fontId="13" fillId="0" borderId="55" xfId="562" applyFont="1" applyFill="1" applyBorder="1" applyAlignment="1">
      <alignment vertical="center" shrinkToFit="1"/>
    </xf>
    <xf numFmtId="178" fontId="13" fillId="0" borderId="2" xfId="506" applyNumberFormat="1" applyFont="1" applyFill="1" applyBorder="1" applyAlignment="1">
      <alignment horizontal="right" vertical="center" shrinkToFit="1"/>
    </xf>
    <xf numFmtId="41" fontId="13" fillId="0" borderId="44" xfId="562" applyFont="1" applyFill="1" applyBorder="1" applyAlignment="1">
      <alignment vertical="center" shrinkToFit="1"/>
    </xf>
    <xf numFmtId="41" fontId="13" fillId="0" borderId="59" xfId="562" applyFont="1" applyFill="1" applyBorder="1" applyAlignment="1" applyProtection="1">
      <alignment vertical="center" shrinkToFit="1"/>
      <protection locked="0"/>
    </xf>
    <xf numFmtId="41" fontId="13" fillId="0" borderId="59" xfId="562" applyFont="1" applyFill="1" applyBorder="1" applyAlignment="1">
      <alignment vertical="center" shrinkToFit="1"/>
    </xf>
    <xf numFmtId="178" fontId="13" fillId="0" borderId="59" xfId="506" applyNumberFormat="1" applyFont="1" applyFill="1" applyBorder="1" applyAlignment="1">
      <alignment horizontal="right" vertical="center" shrinkToFit="1"/>
    </xf>
    <xf numFmtId="179" fontId="13" fillId="0" borderId="72" xfId="0" applyNumberFormat="1" applyFont="1" applyBorder="1" applyAlignment="1" applyProtection="1">
      <alignment vertical="center" shrinkToFit="1"/>
      <protection locked="0"/>
    </xf>
    <xf numFmtId="179" fontId="13" fillId="0" borderId="72" xfId="0" applyNumberFormat="1" applyFont="1" applyBorder="1" applyAlignment="1">
      <alignment vertical="center" shrinkToFit="1"/>
    </xf>
    <xf numFmtId="179" fontId="13" fillId="0" borderId="46" xfId="0" applyNumberFormat="1" applyFont="1" applyBorder="1" applyAlignment="1" applyProtection="1">
      <alignment vertical="center" shrinkToFit="1"/>
      <protection locked="0"/>
    </xf>
    <xf numFmtId="178" fontId="13" fillId="0" borderId="46" xfId="506" applyNumberFormat="1" applyFont="1" applyFill="1" applyBorder="1" applyAlignment="1">
      <alignment vertical="center" shrinkToFit="1"/>
    </xf>
    <xf numFmtId="41" fontId="13" fillId="0" borderId="46" xfId="562" applyFont="1" applyFill="1" applyBorder="1" applyAlignment="1">
      <alignment vertical="center" shrinkToFit="1"/>
    </xf>
    <xf numFmtId="178" fontId="86" fillId="0" borderId="57" xfId="506" applyNumberFormat="1" applyFont="1" applyFill="1" applyBorder="1" applyAlignment="1">
      <alignment horizontal="right" vertical="center" shrinkToFit="1"/>
    </xf>
    <xf numFmtId="178" fontId="86" fillId="0" borderId="27" xfId="506" applyNumberFormat="1" applyFont="1" applyFill="1" applyBorder="1" applyAlignment="1">
      <alignment horizontal="right" vertical="center" shrinkToFit="1"/>
    </xf>
    <xf numFmtId="178" fontId="86" fillId="0" borderId="4" xfId="506" applyNumberFormat="1" applyFont="1" applyFill="1" applyBorder="1" applyAlignment="1">
      <alignment horizontal="right" vertical="center" shrinkToFit="1"/>
    </xf>
    <xf numFmtId="178" fontId="86" fillId="0" borderId="55" xfId="506" applyNumberFormat="1" applyFont="1" applyFill="1" applyBorder="1" applyAlignment="1">
      <alignment horizontal="right" vertical="center" shrinkToFit="1"/>
    </xf>
    <xf numFmtId="178" fontId="86" fillId="0" borderId="44" xfId="506" applyNumberFormat="1" applyFont="1" applyFill="1" applyBorder="1" applyAlignment="1">
      <alignment horizontal="right" vertical="center" shrinkToFit="1"/>
    </xf>
    <xf numFmtId="0" fontId="80" fillId="0" borderId="27" xfId="0" applyFont="1" applyBorder="1" applyAlignment="1">
      <alignment horizontal="center" vertical="center" shrinkToFit="1"/>
    </xf>
    <xf numFmtId="0" fontId="80" fillId="0" borderId="32" xfId="0" applyFont="1" applyBorder="1" applyAlignment="1">
      <alignment horizontal="center" vertical="center" shrinkToFit="1"/>
    </xf>
    <xf numFmtId="0" fontId="7" fillId="0" borderId="0" xfId="0" applyFont="1"/>
    <xf numFmtId="178" fontId="86" fillId="0" borderId="32" xfId="506" applyNumberFormat="1" applyFont="1" applyFill="1" applyBorder="1" applyAlignment="1">
      <alignment horizontal="right" vertical="center" shrinkToFit="1"/>
    </xf>
    <xf numFmtId="178" fontId="86" fillId="0" borderId="60" xfId="506" applyNumberFormat="1" applyFont="1" applyFill="1" applyBorder="1" applyAlignment="1">
      <alignment horizontal="right" vertical="center" shrinkToFit="1"/>
    </xf>
    <xf numFmtId="0" fontId="12" fillId="3" borderId="145" xfId="0" applyFont="1" applyFill="1" applyBorder="1" applyAlignment="1">
      <alignment horizontal="center" vertical="center" shrinkToFit="1"/>
    </xf>
    <xf numFmtId="41" fontId="29" fillId="0" borderId="6" xfId="562" applyFont="1" applyFill="1" applyBorder="1" applyAlignment="1">
      <alignment vertical="center"/>
    </xf>
    <xf numFmtId="41" fontId="29" fillId="0" borderId="5" xfId="562" applyFont="1" applyBorder="1" applyAlignment="1">
      <alignment vertical="center"/>
    </xf>
    <xf numFmtId="0" fontId="87" fillId="0" borderId="0" xfId="0" applyFont="1" applyAlignment="1">
      <alignment vertical="center"/>
    </xf>
    <xf numFmtId="179" fontId="13" fillId="0" borderId="86" xfId="0" applyNumberFormat="1" applyFont="1" applyBorder="1" applyAlignment="1">
      <alignment vertical="center" shrinkToFit="1"/>
    </xf>
    <xf numFmtId="41" fontId="82" fillId="41" borderId="56" xfId="562" applyFont="1" applyFill="1" applyBorder="1" applyAlignment="1">
      <alignment vertical="center"/>
    </xf>
    <xf numFmtId="179" fontId="13" fillId="45" borderId="65" xfId="0" applyNumberFormat="1" applyFont="1" applyFill="1" applyBorder="1" applyAlignment="1">
      <alignment vertical="center" shrinkToFit="1"/>
    </xf>
    <xf numFmtId="0" fontId="88" fillId="2" borderId="0" xfId="0" applyFont="1" applyFill="1" applyAlignment="1">
      <alignment horizontal="centerContinuous" vertical="center"/>
    </xf>
    <xf numFmtId="188" fontId="6" fillId="0" borderId="0" xfId="0" applyNumberFormat="1" applyFont="1" applyAlignment="1" applyProtection="1">
      <alignment horizontal="centerContinuous" vertical="center"/>
      <protection locked="0"/>
    </xf>
    <xf numFmtId="0" fontId="89" fillId="0" borderId="0" xfId="0" applyFont="1" applyAlignment="1">
      <alignment horizontal="centerContinuous"/>
    </xf>
    <xf numFmtId="41" fontId="80" fillId="0" borderId="38" xfId="562" applyFont="1" applyFill="1" applyBorder="1" applyAlignment="1">
      <alignment horizontal="centerContinuous" vertical="center" shrinkToFit="1"/>
    </xf>
    <xf numFmtId="41" fontId="80" fillId="0" borderId="87" xfId="562" applyFont="1" applyFill="1" applyBorder="1" applyAlignment="1">
      <alignment horizontal="centerContinuous" vertical="center" shrinkToFit="1"/>
    </xf>
    <xf numFmtId="41" fontId="80" fillId="0" borderId="1" xfId="562" applyFont="1" applyFill="1" applyBorder="1" applyAlignment="1">
      <alignment horizontal="centerContinuous" vertical="center" shrinkToFit="1"/>
    </xf>
    <xf numFmtId="41" fontId="80" fillId="0" borderId="124" xfId="562" applyFont="1" applyFill="1" applyBorder="1" applyAlignment="1">
      <alignment horizontal="centerContinuous" vertical="center" shrinkToFit="1"/>
    </xf>
    <xf numFmtId="41" fontId="80" fillId="0" borderId="48" xfId="562" applyFont="1" applyFill="1" applyBorder="1" applyAlignment="1">
      <alignment horizontal="centerContinuous" vertical="center" shrinkToFit="1"/>
    </xf>
    <xf numFmtId="41" fontId="80" fillId="0" borderId="141" xfId="562" applyFont="1" applyFill="1" applyBorder="1" applyAlignment="1">
      <alignment horizontal="centerContinuous" vertical="center" shrinkToFit="1"/>
    </xf>
    <xf numFmtId="41" fontId="80" fillId="0" borderId="94" xfId="562" applyFont="1" applyFill="1" applyBorder="1" applyAlignment="1">
      <alignment horizontal="centerContinuous" vertical="center" shrinkToFit="1"/>
    </xf>
    <xf numFmtId="41" fontId="80" fillId="0" borderId="89" xfId="562" applyFont="1" applyFill="1" applyBorder="1" applyAlignment="1">
      <alignment horizontal="centerContinuous" vertical="center" shrinkToFit="1"/>
    </xf>
    <xf numFmtId="41" fontId="80" fillId="0" borderId="8" xfId="562" applyFont="1" applyFill="1" applyBorder="1" applyAlignment="1">
      <alignment horizontal="centerContinuous" vertical="center" shrinkToFit="1"/>
    </xf>
    <xf numFmtId="41" fontId="80" fillId="0" borderId="91" xfId="562" applyFont="1" applyFill="1" applyBorder="1" applyAlignment="1">
      <alignment horizontal="centerContinuous" vertical="center" shrinkToFit="1"/>
    </xf>
    <xf numFmtId="41" fontId="80" fillId="0" borderId="142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3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4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2" xfId="0" applyNumberFormat="1" applyFont="1" applyBorder="1" applyAlignment="1">
      <alignment horizontal="centerContinuous" vertical="center" shrinkToFit="1"/>
    </xf>
    <xf numFmtId="41" fontId="80" fillId="0" borderId="143" xfId="0" applyNumberFormat="1" applyFont="1" applyBorder="1" applyAlignment="1">
      <alignment horizontal="centerContinuous" vertical="center" shrinkToFit="1"/>
    </xf>
    <xf numFmtId="41" fontId="80" fillId="0" borderId="144" xfId="0" applyNumberFormat="1" applyFont="1" applyBorder="1" applyAlignment="1">
      <alignment horizontal="centerContinuous" vertical="center" shrinkToFit="1"/>
    </xf>
    <xf numFmtId="184" fontId="31" fillId="46" borderId="67" xfId="562" applyNumberFormat="1" applyFont="1" applyFill="1" applyBorder="1" applyAlignment="1">
      <alignment horizontal="right" vertical="center"/>
    </xf>
    <xf numFmtId="184" fontId="31" fillId="46" borderId="31" xfId="562" applyNumberFormat="1" applyFont="1" applyFill="1" applyBorder="1" applyAlignment="1">
      <alignment horizontal="right" vertical="center"/>
    </xf>
    <xf numFmtId="179" fontId="31" fillId="46" borderId="77" xfId="562" applyNumberFormat="1" applyFont="1" applyFill="1" applyBorder="1" applyAlignment="1">
      <alignment vertical="center"/>
    </xf>
    <xf numFmtId="41" fontId="78" fillId="46" borderId="55" xfId="562" applyFont="1" applyFill="1" applyBorder="1" applyAlignment="1">
      <alignment horizontal="center" vertical="center"/>
    </xf>
    <xf numFmtId="184" fontId="31" fillId="46" borderId="50" xfId="562" applyNumberFormat="1" applyFont="1" applyFill="1" applyBorder="1" applyAlignment="1">
      <alignment horizontal="right" vertical="center"/>
    </xf>
    <xf numFmtId="41" fontId="30" fillId="46" borderId="55" xfId="562" applyFont="1" applyFill="1" applyBorder="1" applyAlignment="1">
      <alignment horizontal="center" vertical="center"/>
    </xf>
    <xf numFmtId="179" fontId="22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181" fontId="90" fillId="0" borderId="0" xfId="0" applyNumberFormat="1" applyFont="1" applyAlignment="1">
      <alignment vertical="center"/>
    </xf>
    <xf numFmtId="179" fontId="77" fillId="47" borderId="38" xfId="562" applyNumberFormat="1" applyFont="1" applyFill="1" applyBorder="1" applyAlignment="1">
      <alignment vertical="center"/>
    </xf>
    <xf numFmtId="184" fontId="7" fillId="0" borderId="32" xfId="0" applyNumberFormat="1" applyFont="1" applyBorder="1" applyAlignment="1">
      <alignment vertical="center" shrinkToFit="1"/>
    </xf>
    <xf numFmtId="0" fontId="63" fillId="37" borderId="92" xfId="744" applyFont="1" applyFill="1" applyBorder="1" applyAlignment="1">
      <alignment horizontal="center" vertical="center"/>
    </xf>
    <xf numFmtId="0" fontId="91" fillId="37" borderId="92" xfId="0" applyFont="1" applyFill="1" applyBorder="1" applyAlignment="1">
      <alignment horizontal="center" vertical="center"/>
    </xf>
    <xf numFmtId="179" fontId="63" fillId="37" borderId="92" xfId="744" applyNumberFormat="1" applyFont="1" applyFill="1" applyBorder="1" applyAlignment="1">
      <alignment horizontal="center" vertical="center"/>
    </xf>
    <xf numFmtId="179" fontId="63" fillId="37" borderId="151" xfId="744" applyNumberFormat="1" applyFont="1" applyFill="1" applyBorder="1" applyAlignment="1">
      <alignment horizontal="center" vertical="center"/>
    </xf>
    <xf numFmtId="184" fontId="91" fillId="37" borderId="59" xfId="0" applyNumberFormat="1" applyFont="1" applyFill="1" applyBorder="1" applyAlignment="1">
      <alignment vertical="center" shrinkToFit="1"/>
    </xf>
    <xf numFmtId="0" fontId="91" fillId="37" borderId="59" xfId="0" applyFont="1" applyFill="1" applyBorder="1" applyAlignment="1">
      <alignment vertical="center" shrinkToFit="1"/>
    </xf>
    <xf numFmtId="184" fontId="91" fillId="37" borderId="9" xfId="0" applyNumberFormat="1" applyFont="1" applyFill="1" applyBorder="1" applyAlignment="1">
      <alignment vertical="center" shrinkToFit="1"/>
    </xf>
    <xf numFmtId="200" fontId="21" fillId="42" borderId="0" xfId="0" quotePrefix="1" applyNumberFormat="1" applyFont="1" applyFill="1" applyAlignment="1">
      <alignment horizontal="center" vertical="center"/>
    </xf>
    <xf numFmtId="184" fontId="92" fillId="0" borderId="67" xfId="562" applyNumberFormat="1" applyFont="1" applyFill="1" applyBorder="1" applyAlignment="1">
      <alignment horizontal="right" vertical="center"/>
    </xf>
    <xf numFmtId="178" fontId="12" fillId="0" borderId="0" xfId="506" applyNumberFormat="1" applyFont="1" applyFill="1" applyAlignment="1">
      <alignment vertical="center"/>
    </xf>
    <xf numFmtId="184" fontId="92" fillId="0" borderId="67" xfId="0" applyNumberFormat="1" applyFont="1" applyBorder="1" applyAlignment="1">
      <alignment horizontal="right" vertical="center"/>
    </xf>
    <xf numFmtId="184" fontId="7" fillId="41" borderId="32" xfId="0" applyNumberFormat="1" applyFont="1" applyFill="1" applyBorder="1" applyAlignment="1">
      <alignment vertical="center" shrinkToFit="1"/>
    </xf>
    <xf numFmtId="179" fontId="29" fillId="40" borderId="55" xfId="752" applyNumberFormat="1" applyFont="1" applyFill="1" applyBorder="1" applyAlignment="1">
      <alignment vertical="center"/>
    </xf>
    <xf numFmtId="179" fontId="29" fillId="40" borderId="44" xfId="752" applyNumberFormat="1" applyFont="1" applyFill="1" applyBorder="1" applyAlignment="1">
      <alignment vertical="center"/>
    </xf>
    <xf numFmtId="179" fontId="29" fillId="0" borderId="75" xfId="752" applyNumberFormat="1" applyFont="1" applyBorder="1" applyAlignment="1">
      <alignment vertical="center"/>
    </xf>
    <xf numFmtId="178" fontId="29" fillId="48" borderId="153" xfId="506" applyNumberFormat="1" applyFont="1" applyFill="1" applyBorder="1" applyAlignment="1">
      <alignment vertical="center"/>
    </xf>
    <xf numFmtId="178" fontId="29" fillId="48" borderId="154" xfId="506" applyNumberFormat="1" applyFont="1" applyFill="1" applyBorder="1" applyAlignment="1">
      <alignment vertical="center"/>
    </xf>
    <xf numFmtId="178" fontId="43" fillId="48" borderId="155" xfId="506" applyNumberFormat="1" applyFont="1" applyFill="1" applyBorder="1" applyAlignment="1">
      <alignment vertical="center"/>
    </xf>
    <xf numFmtId="179" fontId="29" fillId="40" borderId="56" xfId="752" applyNumberFormat="1" applyFont="1" applyFill="1" applyBorder="1" applyAlignment="1">
      <alignment vertical="center"/>
    </xf>
    <xf numFmtId="10" fontId="86" fillId="0" borderId="43" xfId="506" applyNumberFormat="1" applyFont="1" applyFill="1" applyBorder="1" applyAlignment="1" applyProtection="1">
      <alignment vertical="center" shrinkToFit="1"/>
      <protection locked="0"/>
    </xf>
    <xf numFmtId="10" fontId="86" fillId="0" borderId="45" xfId="506" applyNumberFormat="1" applyFont="1" applyFill="1" applyBorder="1" applyAlignment="1" applyProtection="1">
      <alignment vertical="center" shrinkToFit="1"/>
    </xf>
    <xf numFmtId="10" fontId="86" fillId="0" borderId="27" xfId="506" applyNumberFormat="1" applyFont="1" applyFill="1" applyBorder="1" applyAlignment="1" applyProtection="1">
      <alignment vertical="center" shrinkToFit="1"/>
    </xf>
    <xf numFmtId="10" fontId="86" fillId="0" borderId="32" xfId="506" applyNumberFormat="1" applyFont="1" applyFill="1" applyBorder="1" applyAlignment="1" applyProtection="1">
      <alignment vertical="center" shrinkToFit="1"/>
    </xf>
    <xf numFmtId="10" fontId="86" fillId="0" borderId="146" xfId="506" applyNumberFormat="1" applyFont="1" applyFill="1" applyBorder="1" applyAlignment="1" applyProtection="1">
      <alignment vertical="center" shrinkToFit="1"/>
    </xf>
    <xf numFmtId="10" fontId="86" fillId="0" borderId="50" xfId="506" applyNumberFormat="1" applyFont="1" applyFill="1" applyBorder="1" applyAlignment="1" applyProtection="1">
      <alignment vertical="center" shrinkToFit="1"/>
    </xf>
    <xf numFmtId="179" fontId="74" fillId="41" borderId="55" xfId="0" applyNumberFormat="1" applyFont="1" applyFill="1" applyBorder="1" applyAlignment="1">
      <alignment vertical="center"/>
    </xf>
    <xf numFmtId="203" fontId="29" fillId="41" borderId="55" xfId="752" applyNumberFormat="1" applyFont="1" applyFill="1" applyBorder="1" applyAlignment="1">
      <alignment vertical="center"/>
    </xf>
    <xf numFmtId="197" fontId="82" fillId="41" borderId="55" xfId="0" applyNumberFormat="1" applyFont="1" applyFill="1" applyBorder="1" applyAlignment="1">
      <alignment vertical="center"/>
    </xf>
    <xf numFmtId="41" fontId="30" fillId="0" borderId="0" xfId="562" applyFont="1" applyAlignment="1">
      <alignment horizontal="right" vertical="center"/>
    </xf>
    <xf numFmtId="178" fontId="29" fillId="0" borderId="0" xfId="506" applyNumberFormat="1" applyFont="1" applyAlignment="1">
      <alignment vertical="center"/>
    </xf>
    <xf numFmtId="0" fontId="93" fillId="0" borderId="55" xfId="0" applyFont="1" applyBorder="1" applyAlignment="1">
      <alignment horizontal="center" vertical="center"/>
    </xf>
    <xf numFmtId="0" fontId="94" fillId="0" borderId="55" xfId="0" applyFont="1" applyBorder="1" applyAlignment="1">
      <alignment horizontal="center" vertical="center"/>
    </xf>
    <xf numFmtId="0" fontId="94" fillId="0" borderId="55" xfId="0" quotePrefix="1" applyFont="1" applyBorder="1" applyAlignment="1">
      <alignment horizontal="center" vertical="center"/>
    </xf>
    <xf numFmtId="0" fontId="0" fillId="0" borderId="0" xfId="0" applyAlignment="1">
      <alignment vertical="center"/>
    </xf>
    <xf numFmtId="179" fontId="31" fillId="0" borderId="55" xfId="752" applyNumberFormat="1" applyFont="1" applyBorder="1" applyAlignment="1">
      <alignment vertical="center"/>
    </xf>
    <xf numFmtId="0" fontId="98" fillId="0" borderId="0" xfId="0" applyFont="1" applyAlignment="1">
      <alignment vertical="center"/>
    </xf>
    <xf numFmtId="0" fontId="98" fillId="0" borderId="0" xfId="0" applyFont="1" applyAlignment="1">
      <alignment horizontal="center" vertical="center"/>
    </xf>
    <xf numFmtId="179" fontId="30" fillId="0" borderId="55" xfId="752" applyNumberFormat="1" applyFont="1" applyBorder="1" applyAlignment="1">
      <alignment vertical="center"/>
    </xf>
    <xf numFmtId="179" fontId="30" fillId="40" borderId="55" xfId="752" applyNumberFormat="1" applyFont="1" applyFill="1" applyBorder="1" applyAlignment="1">
      <alignment vertical="center"/>
    </xf>
    <xf numFmtId="179" fontId="31" fillId="40" borderId="55" xfId="752" applyNumberFormat="1" applyFont="1" applyFill="1" applyBorder="1" applyAlignment="1">
      <alignment vertical="center"/>
    </xf>
    <xf numFmtId="179" fontId="31" fillId="0" borderId="27" xfId="752" applyNumberFormat="1" applyFont="1" applyBorder="1" applyAlignment="1">
      <alignment vertical="center"/>
    </xf>
    <xf numFmtId="179" fontId="31" fillId="0" borderId="31" xfId="752" applyNumberFormat="1" applyFont="1" applyBorder="1" applyAlignment="1">
      <alignment vertical="center"/>
    </xf>
    <xf numFmtId="0" fontId="31" fillId="0" borderId="27" xfId="752" applyFont="1" applyBorder="1" applyAlignment="1">
      <alignment horizontal="center" vertical="center"/>
    </xf>
    <xf numFmtId="0" fontId="31" fillId="0" borderId="31" xfId="752" applyFont="1" applyBorder="1" applyAlignment="1">
      <alignment horizontal="center" vertical="center"/>
    </xf>
    <xf numFmtId="0" fontId="31" fillId="0" borderId="146" xfId="752" applyFont="1" applyBorder="1" applyAlignment="1">
      <alignment horizontal="center" vertical="center"/>
    </xf>
    <xf numFmtId="0" fontId="31" fillId="40" borderId="55" xfId="752" applyFont="1" applyFill="1" applyBorder="1" applyAlignment="1">
      <alignment horizontal="center" vertical="center"/>
    </xf>
    <xf numFmtId="179" fontId="30" fillId="49" borderId="27" xfId="752" applyNumberFormat="1" applyFont="1" applyFill="1" applyBorder="1" applyAlignment="1">
      <alignment vertical="center"/>
    </xf>
    <xf numFmtId="179" fontId="30" fillId="49" borderId="93" xfId="752" applyNumberFormat="1" applyFont="1" applyFill="1" applyBorder="1" applyAlignment="1">
      <alignment vertical="center"/>
    </xf>
    <xf numFmtId="179" fontId="30" fillId="49" borderId="31" xfId="752" applyNumberFormat="1" applyFont="1" applyFill="1" applyBorder="1" applyAlignment="1">
      <alignment vertical="center"/>
    </xf>
    <xf numFmtId="179" fontId="30" fillId="49" borderId="156" xfId="752" applyNumberFormat="1" applyFont="1" applyFill="1" applyBorder="1" applyAlignment="1">
      <alignment vertical="center"/>
    </xf>
    <xf numFmtId="179" fontId="30" fillId="49" borderId="146" xfId="752" applyNumberFormat="1" applyFont="1" applyFill="1" applyBorder="1" applyAlignment="1">
      <alignment vertical="center"/>
    </xf>
    <xf numFmtId="179" fontId="30" fillId="49" borderId="157" xfId="752" applyNumberFormat="1" applyFont="1" applyFill="1" applyBorder="1" applyAlignment="1">
      <alignment vertical="center"/>
    </xf>
    <xf numFmtId="0" fontId="31" fillId="0" borderId="55" xfId="752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1" fillId="50" borderId="55" xfId="0" applyFont="1" applyFill="1" applyBorder="1" applyAlignment="1">
      <alignment horizontal="center" vertical="center"/>
    </xf>
    <xf numFmtId="0" fontId="99" fillId="0" borderId="0" xfId="0" applyFont="1" applyAlignment="1">
      <alignment vertical="center"/>
    </xf>
    <xf numFmtId="206" fontId="27" fillId="0" borderId="0" xfId="0" applyNumberFormat="1" applyFont="1" applyAlignment="1">
      <alignment vertical="center"/>
    </xf>
    <xf numFmtId="41" fontId="43" fillId="41" borderId="55" xfId="562" applyFont="1" applyFill="1" applyBorder="1" applyAlignment="1">
      <alignment vertical="center"/>
    </xf>
    <xf numFmtId="41" fontId="17" fillId="0" borderId="0" xfId="563" applyFont="1" applyFill="1" applyBorder="1" applyAlignment="1" applyProtection="1">
      <alignment vertical="center" shrinkToFit="1"/>
      <protection locked="0"/>
    </xf>
    <xf numFmtId="41" fontId="100" fillId="0" borderId="0" xfId="563" applyFont="1" applyFill="1" applyBorder="1" applyAlignment="1">
      <alignment vertical="center" shrinkToFit="1"/>
    </xf>
    <xf numFmtId="178" fontId="73" fillId="0" borderId="0" xfId="507" applyNumberFormat="1" applyFont="1" applyFill="1" applyBorder="1" applyAlignment="1">
      <alignment horizontal="right" vertical="center" shrinkToFit="1"/>
    </xf>
    <xf numFmtId="0" fontId="21" fillId="0" borderId="0" xfId="752" applyFont="1" applyAlignment="1">
      <alignment horizontal="center" vertical="center" shrinkToFit="1"/>
    </xf>
    <xf numFmtId="178" fontId="10" fillId="0" borderId="0" xfId="506" applyNumberFormat="1" applyFont="1" applyBorder="1" applyAlignment="1">
      <alignment horizontal="centerContinuous" vertical="center"/>
    </xf>
    <xf numFmtId="0" fontId="25" fillId="0" borderId="0" xfId="752" applyAlignment="1">
      <alignment vertical="center"/>
    </xf>
    <xf numFmtId="0" fontId="7" fillId="0" borderId="0" xfId="752" applyFont="1" applyAlignment="1">
      <alignment vertical="center"/>
    </xf>
    <xf numFmtId="179" fontId="82" fillId="0" borderId="0" xfId="0" applyNumberFormat="1" applyFont="1" applyAlignment="1">
      <alignment vertical="center"/>
    </xf>
    <xf numFmtId="178" fontId="86" fillId="0" borderId="59" xfId="506" applyNumberFormat="1" applyFont="1" applyFill="1" applyBorder="1" applyAlignment="1">
      <alignment horizontal="right" vertical="center" shrinkToFit="1"/>
    </xf>
    <xf numFmtId="178" fontId="13" fillId="0" borderId="60" xfId="506" applyNumberFormat="1" applyFont="1" applyFill="1" applyBorder="1" applyAlignment="1">
      <alignment horizontal="right" vertical="center" shrinkToFit="1"/>
    </xf>
    <xf numFmtId="0" fontId="21" fillId="51" borderId="37" xfId="752" applyFont="1" applyFill="1" applyBorder="1" applyAlignment="1">
      <alignment horizontal="centerContinuous" vertical="center" wrapText="1" shrinkToFit="1"/>
    </xf>
    <xf numFmtId="0" fontId="7" fillId="0" borderId="0" xfId="0" applyFont="1" applyAlignment="1">
      <alignment horizontal="left" vertical="center"/>
    </xf>
    <xf numFmtId="0" fontId="54" fillId="0" borderId="0" xfId="744" applyAlignment="1">
      <alignment horizontal="center" vertical="center"/>
    </xf>
    <xf numFmtId="179" fontId="54" fillId="0" borderId="0" xfId="744" applyNumberFormat="1" applyAlignment="1">
      <alignment horizontal="center" vertical="center"/>
    </xf>
    <xf numFmtId="184" fontId="63" fillId="0" borderId="0" xfId="744" applyNumberFormat="1" applyFont="1" applyAlignment="1">
      <alignment horizontal="center" vertical="center"/>
    </xf>
    <xf numFmtId="0" fontId="17" fillId="0" borderId="0" xfId="765" applyFont="1" applyAlignment="1">
      <alignment vertical="center"/>
    </xf>
    <xf numFmtId="0" fontId="21" fillId="51" borderId="37" xfId="752" applyFont="1" applyFill="1" applyBorder="1" applyAlignment="1">
      <alignment horizontal="center" vertical="center" shrinkToFit="1"/>
    </xf>
    <xf numFmtId="0" fontId="21" fillId="51" borderId="41" xfId="752" applyFont="1" applyFill="1" applyBorder="1" applyAlignment="1">
      <alignment horizontal="center" vertical="center" wrapText="1" shrinkToFit="1"/>
    </xf>
    <xf numFmtId="0" fontId="21" fillId="51" borderId="158" xfId="752" applyFont="1" applyFill="1" applyBorder="1" applyAlignment="1">
      <alignment horizontal="center" vertical="center" wrapText="1" shrinkToFit="1"/>
    </xf>
    <xf numFmtId="0" fontId="21" fillId="51" borderId="159" xfId="752" applyFont="1" applyFill="1" applyBorder="1" applyAlignment="1">
      <alignment horizontal="center" vertical="center" wrapText="1" shrinkToFit="1"/>
    </xf>
    <xf numFmtId="207" fontId="21" fillId="37" borderId="160" xfId="563" applyNumberFormat="1" applyFont="1" applyFill="1" applyBorder="1" applyAlignment="1" applyProtection="1">
      <alignment vertical="center"/>
      <protection locked="0"/>
    </xf>
    <xf numFmtId="207" fontId="17" fillId="0" borderId="76" xfId="563" applyNumberFormat="1" applyFont="1" applyFill="1" applyBorder="1" applyAlignment="1" applyProtection="1">
      <alignment vertical="center"/>
      <protection locked="0"/>
    </xf>
    <xf numFmtId="207" fontId="17" fillId="0" borderId="9" xfId="563" applyNumberFormat="1" applyFont="1" applyFill="1" applyBorder="1" applyAlignment="1" applyProtection="1">
      <alignment vertical="center"/>
      <protection locked="0"/>
    </xf>
    <xf numFmtId="207" fontId="21" fillId="37" borderId="3" xfId="563" applyNumberFormat="1" applyFont="1" applyFill="1" applyBorder="1" applyAlignment="1" applyProtection="1">
      <alignment vertical="center" shrinkToFit="1"/>
      <protection locked="0"/>
    </xf>
    <xf numFmtId="207" fontId="21" fillId="37" borderId="126" xfId="563" applyNumberFormat="1" applyFont="1" applyFill="1" applyBorder="1" applyAlignment="1" applyProtection="1">
      <alignment vertical="center" shrinkToFit="1"/>
      <protection locked="0"/>
    </xf>
    <xf numFmtId="207" fontId="21" fillId="37" borderId="4" xfId="563" applyNumberFormat="1" applyFont="1" applyFill="1" applyBorder="1" applyAlignment="1" applyProtection="1">
      <alignment vertical="center"/>
      <protection locked="0"/>
    </xf>
    <xf numFmtId="207" fontId="17" fillId="0" borderId="75" xfId="563" applyNumberFormat="1" applyFont="1" applyFill="1" applyBorder="1" applyAlignment="1" applyProtection="1">
      <alignment vertical="center" shrinkToFit="1"/>
      <protection locked="0"/>
    </xf>
    <xf numFmtId="207" fontId="21" fillId="0" borderId="161" xfId="563" applyNumberFormat="1" applyFont="1" applyFill="1" applyBorder="1" applyAlignment="1">
      <alignment vertical="center" shrinkToFit="1"/>
    </xf>
    <xf numFmtId="207" fontId="17" fillId="0" borderId="56" xfId="563" applyNumberFormat="1" applyFont="1" applyFill="1" applyBorder="1" applyAlignment="1" applyProtection="1">
      <alignment vertical="center"/>
      <protection locked="0"/>
    </xf>
    <xf numFmtId="207" fontId="17" fillId="37" borderId="75" xfId="563" applyNumberFormat="1" applyFont="1" applyFill="1" applyBorder="1" applyAlignment="1" applyProtection="1">
      <alignment vertical="center" shrinkToFit="1"/>
      <protection locked="0"/>
    </xf>
    <xf numFmtId="207" fontId="17" fillId="37" borderId="56" xfId="563" applyNumberFormat="1" applyFont="1" applyFill="1" applyBorder="1" applyAlignment="1" applyProtection="1">
      <alignment vertical="center"/>
      <protection locked="0"/>
    </xf>
    <xf numFmtId="207" fontId="21" fillId="0" borderId="152" xfId="563" applyNumberFormat="1" applyFont="1" applyFill="1" applyBorder="1" applyAlignment="1">
      <alignment vertical="center" shrinkToFit="1"/>
    </xf>
    <xf numFmtId="0" fontId="102" fillId="0" borderId="55" xfId="0" applyFont="1" applyBorder="1" applyAlignment="1">
      <alignment horizontal="center" vertical="center"/>
    </xf>
    <xf numFmtId="0" fontId="102" fillId="0" borderId="0" xfId="0" applyFont="1" applyAlignment="1">
      <alignment horizontal="center" vertical="center"/>
    </xf>
    <xf numFmtId="209" fontId="73" fillId="0" borderId="0" xfId="507" applyNumberFormat="1" applyFont="1" applyFill="1" applyBorder="1" applyAlignment="1">
      <alignment horizontal="right" vertical="center" shrinkToFit="1"/>
    </xf>
    <xf numFmtId="194" fontId="73" fillId="0" borderId="0" xfId="507" applyNumberFormat="1" applyFont="1" applyFill="1" applyBorder="1" applyAlignment="1">
      <alignment horizontal="right" vertical="center" shrinkToFit="1"/>
    </xf>
    <xf numFmtId="41" fontId="17" fillId="0" borderId="0" xfId="563" applyFont="1" applyFill="1" applyBorder="1" applyAlignment="1" applyProtection="1">
      <alignment vertical="center"/>
      <protection locked="0"/>
    </xf>
    <xf numFmtId="209" fontId="103" fillId="0" borderId="55" xfId="507" applyNumberFormat="1" applyFont="1" applyFill="1" applyBorder="1" applyAlignment="1">
      <alignment horizontal="center" vertical="center" shrinkToFit="1"/>
    </xf>
    <xf numFmtId="179" fontId="17" fillId="0" borderId="0" xfId="563" applyNumberFormat="1" applyFont="1" applyBorder="1" applyAlignment="1" applyProtection="1">
      <alignment horizontal="center" vertical="center"/>
      <protection locked="0"/>
    </xf>
    <xf numFmtId="207" fontId="17" fillId="37" borderId="119" xfId="563" applyNumberFormat="1" applyFont="1" applyFill="1" applyBorder="1" applyAlignment="1" applyProtection="1">
      <alignment vertical="center" shrinkToFit="1"/>
      <protection locked="0"/>
    </xf>
    <xf numFmtId="207" fontId="17" fillId="37" borderId="76" xfId="563" applyNumberFormat="1" applyFont="1" applyFill="1" applyBorder="1" applyAlignment="1" applyProtection="1">
      <alignment vertical="center" shrinkToFit="1"/>
      <protection locked="0"/>
    </xf>
    <xf numFmtId="178" fontId="21" fillId="0" borderId="5" xfId="507" applyNumberFormat="1" applyFont="1" applyFill="1" applyBorder="1" applyAlignment="1">
      <alignment horizontal="right" vertical="center" shrinkToFit="1"/>
    </xf>
    <xf numFmtId="178" fontId="101" fillId="0" borderId="5" xfId="507" applyNumberFormat="1" applyFont="1" applyFill="1" applyBorder="1" applyAlignment="1">
      <alignment horizontal="right" vertical="center" shrinkToFit="1"/>
    </xf>
    <xf numFmtId="178" fontId="17" fillId="0" borderId="5" xfId="507" applyNumberFormat="1" applyFont="1" applyFill="1" applyBorder="1" applyAlignment="1">
      <alignment horizontal="right" vertical="center" shrinkToFit="1"/>
    </xf>
    <xf numFmtId="184" fontId="7" fillId="0" borderId="55" xfId="0" applyNumberFormat="1" applyFont="1" applyBorder="1" applyAlignment="1">
      <alignment vertical="center" shrinkToFit="1"/>
    </xf>
    <xf numFmtId="43" fontId="82" fillId="0" borderId="0" xfId="0" applyNumberFormat="1" applyFont="1" applyAlignment="1">
      <alignment vertical="center"/>
    </xf>
    <xf numFmtId="207" fontId="7" fillId="0" borderId="0" xfId="752" applyNumberFormat="1" applyFont="1" applyAlignment="1">
      <alignment vertical="center"/>
    </xf>
    <xf numFmtId="9" fontId="7" fillId="0" borderId="0" xfId="506" applyFont="1" applyAlignment="1">
      <alignment vertical="center"/>
    </xf>
    <xf numFmtId="9" fontId="7" fillId="0" borderId="0" xfId="752" applyNumberFormat="1" applyFont="1" applyAlignment="1">
      <alignment vertical="center"/>
    </xf>
    <xf numFmtId="41" fontId="103" fillId="0" borderId="55" xfId="562" applyFont="1" applyFill="1" applyBorder="1" applyAlignment="1">
      <alignment horizontal="right" vertical="center" shrinkToFit="1"/>
    </xf>
    <xf numFmtId="41" fontId="71" fillId="49" borderId="57" xfId="562" applyFont="1" applyFill="1" applyBorder="1" applyAlignment="1" applyProtection="1">
      <alignment vertical="center" shrinkToFit="1"/>
      <protection locked="0"/>
    </xf>
    <xf numFmtId="41" fontId="71" fillId="49" borderId="27" xfId="562" applyFont="1" applyFill="1" applyBorder="1" applyAlignment="1" applyProtection="1">
      <alignment vertical="center" shrinkToFit="1"/>
      <protection locked="0"/>
    </xf>
    <xf numFmtId="41" fontId="71" fillId="49" borderId="32" xfId="562" applyFont="1" applyFill="1" applyBorder="1" applyAlignment="1" applyProtection="1">
      <alignment vertical="center" shrinkToFit="1"/>
      <protection locked="0"/>
    </xf>
    <xf numFmtId="41" fontId="71" fillId="49" borderId="55" xfId="562" applyFont="1" applyFill="1" applyBorder="1" applyAlignment="1" applyProtection="1">
      <alignment vertical="center" shrinkToFit="1"/>
      <protection locked="0"/>
    </xf>
    <xf numFmtId="41" fontId="71" fillId="49" borderId="44" xfId="562" applyFont="1" applyFill="1" applyBorder="1" applyAlignment="1" applyProtection="1">
      <alignment vertical="center" shrinkToFit="1"/>
      <protection locked="0"/>
    </xf>
    <xf numFmtId="41" fontId="71" fillId="49" borderId="59" xfId="562" applyFont="1" applyFill="1" applyBorder="1" applyAlignment="1" applyProtection="1">
      <alignment vertical="center" shrinkToFit="1"/>
      <protection locked="0"/>
    </xf>
    <xf numFmtId="41" fontId="71" fillId="49" borderId="72" xfId="562" applyFont="1" applyFill="1" applyBorder="1" applyAlignment="1">
      <alignment vertical="center" shrinkToFit="1"/>
    </xf>
    <xf numFmtId="41" fontId="13" fillId="49" borderId="46" xfId="562" applyFont="1" applyFill="1" applyBorder="1" applyAlignment="1" applyProtection="1">
      <alignment vertical="center" shrinkToFit="1"/>
      <protection locked="0"/>
    </xf>
    <xf numFmtId="0" fontId="21" fillId="0" borderId="75" xfId="752" applyFont="1" applyBorder="1" applyAlignment="1">
      <alignment horizontal="center" vertical="center" shrinkToFit="1"/>
    </xf>
    <xf numFmtId="0" fontId="21" fillId="51" borderId="1" xfId="752" applyFont="1" applyFill="1" applyBorder="1" applyAlignment="1">
      <alignment horizontal="center" vertical="center"/>
    </xf>
    <xf numFmtId="0" fontId="21" fillId="37" borderId="75" xfId="752" applyFont="1" applyFill="1" applyBorder="1" applyAlignment="1">
      <alignment horizontal="center" vertical="center" shrinkToFit="1"/>
    </xf>
    <xf numFmtId="0" fontId="21" fillId="0" borderId="5" xfId="752" applyFont="1" applyBorder="1" applyAlignment="1">
      <alignment horizontal="center" vertical="center" shrinkToFit="1"/>
    </xf>
    <xf numFmtId="0" fontId="21" fillId="37" borderId="3" xfId="752" applyFont="1" applyFill="1" applyBorder="1" applyAlignment="1">
      <alignment horizontal="center" vertical="center" shrinkToFit="1"/>
    </xf>
    <xf numFmtId="41" fontId="17" fillId="0" borderId="101" xfId="0" applyNumberFormat="1" applyFont="1" applyBorder="1" applyAlignment="1">
      <alignment vertical="center"/>
    </xf>
    <xf numFmtId="41" fontId="17" fillId="2" borderId="103" xfId="0" applyNumberFormat="1" applyFont="1" applyFill="1" applyBorder="1" applyAlignment="1" applyProtection="1">
      <alignment horizontal="left" vertical="center"/>
      <protection locked="0"/>
    </xf>
    <xf numFmtId="41" fontId="17" fillId="2" borderId="54" xfId="0" applyNumberFormat="1" applyFont="1" applyFill="1" applyBorder="1" applyAlignment="1" applyProtection="1">
      <alignment vertical="center"/>
      <protection locked="0"/>
    </xf>
    <xf numFmtId="41" fontId="17" fillId="2" borderId="54" xfId="0" applyNumberFormat="1" applyFont="1" applyFill="1" applyBorder="1" applyAlignment="1" applyProtection="1">
      <alignment horizontal="left" vertical="center"/>
      <protection locked="0"/>
    </xf>
    <xf numFmtId="41" fontId="17" fillId="2" borderId="51" xfId="0" applyNumberFormat="1" applyFont="1" applyFill="1" applyBorder="1" applyAlignment="1" applyProtection="1">
      <alignment vertical="center"/>
      <protection locked="0"/>
    </xf>
    <xf numFmtId="208" fontId="103" fillId="0" borderId="55" xfId="507" applyNumberFormat="1" applyFont="1" applyFill="1" applyBorder="1" applyAlignment="1">
      <alignment horizontal="center" vertical="center" shrinkToFit="1"/>
    </xf>
    <xf numFmtId="194" fontId="73" fillId="0" borderId="0" xfId="507" applyNumberFormat="1" applyFont="1" applyFill="1" applyBorder="1" applyAlignment="1">
      <alignment horizontal="center" vertical="center" shrinkToFit="1"/>
    </xf>
    <xf numFmtId="0" fontId="0" fillId="0" borderId="0" xfId="752" applyFont="1" applyAlignment="1">
      <alignment vertical="center"/>
    </xf>
    <xf numFmtId="0" fontId="73" fillId="0" borderId="0" xfId="507" applyNumberFormat="1" applyFont="1" applyFill="1" applyBorder="1" applyAlignment="1">
      <alignment horizontal="right" vertical="center" shrinkToFit="1"/>
    </xf>
    <xf numFmtId="183" fontId="17" fillId="0" borderId="0" xfId="0" applyNumberFormat="1" applyFont="1" applyAlignment="1">
      <alignment vertical="center"/>
    </xf>
    <xf numFmtId="0" fontId="17" fillId="0" borderId="55" xfId="0" applyFont="1" applyBorder="1" applyAlignment="1">
      <alignment horizontal="centerContinuous" vertical="center"/>
    </xf>
    <xf numFmtId="0" fontId="17" fillId="0" borderId="55" xfId="0" applyFont="1" applyBorder="1" applyAlignment="1">
      <alignment horizontal="centerContinuous" vertical="center" wrapText="1"/>
    </xf>
    <xf numFmtId="14" fontId="7" fillId="0" borderId="0" xfId="752" applyNumberFormat="1" applyFont="1" applyAlignment="1">
      <alignment vertical="center"/>
    </xf>
    <xf numFmtId="10" fontId="7" fillId="0" borderId="0" xfId="752" applyNumberFormat="1" applyFont="1" applyAlignment="1">
      <alignment vertical="center"/>
    </xf>
    <xf numFmtId="0" fontId="122" fillId="0" borderId="0" xfId="829" applyFont="1" applyAlignment="1">
      <alignment horizontal="centerContinuous" vertical="center"/>
    </xf>
    <xf numFmtId="0" fontId="123" fillId="0" borderId="0" xfId="829" applyFont="1" applyAlignment="1">
      <alignment vertical="center"/>
    </xf>
    <xf numFmtId="0" fontId="124" fillId="0" borderId="0" xfId="829" applyFont="1" applyAlignment="1">
      <alignment vertical="center"/>
    </xf>
    <xf numFmtId="0" fontId="122" fillId="0" borderId="0" xfId="829" applyFont="1" applyAlignment="1">
      <alignment vertical="center"/>
    </xf>
    <xf numFmtId="0" fontId="125" fillId="0" borderId="21" xfId="829" applyFont="1" applyBorder="1" applyAlignment="1">
      <alignment horizontal="left" vertical="center"/>
    </xf>
    <xf numFmtId="0" fontId="126" fillId="0" borderId="21" xfId="829" applyFont="1" applyBorder="1" applyAlignment="1">
      <alignment horizontal="center" vertical="center"/>
    </xf>
    <xf numFmtId="41" fontId="126" fillId="0" borderId="21" xfId="830" quotePrefix="1" applyFont="1" applyFill="1" applyBorder="1" applyAlignment="1">
      <alignment horizontal="left" vertical="center"/>
    </xf>
    <xf numFmtId="0" fontId="127" fillId="0" borderId="0" xfId="829" applyFont="1" applyAlignment="1">
      <alignment vertical="center"/>
    </xf>
    <xf numFmtId="210" fontId="43" fillId="38" borderId="168" xfId="830" applyNumberFormat="1" applyFont="1" applyFill="1" applyBorder="1" applyAlignment="1">
      <alignment horizontal="center" vertical="center"/>
    </xf>
    <xf numFmtId="210" fontId="43" fillId="38" borderId="59" xfId="829" applyNumberFormat="1" applyFont="1" applyFill="1" applyBorder="1" applyAlignment="1">
      <alignment horizontal="center" vertical="center"/>
    </xf>
    <xf numFmtId="210" fontId="43" fillId="38" borderId="24" xfId="829" applyNumberFormat="1" applyFont="1" applyFill="1" applyBorder="1" applyAlignment="1">
      <alignment horizontal="center" vertical="center"/>
    </xf>
    <xf numFmtId="210" fontId="43" fillId="38" borderId="170" xfId="829" applyNumberFormat="1" applyFont="1" applyFill="1" applyBorder="1" applyAlignment="1">
      <alignment horizontal="center" vertical="center"/>
    </xf>
    <xf numFmtId="210" fontId="43" fillId="38" borderId="10" xfId="829" applyNumberFormat="1" applyFont="1" applyFill="1" applyBorder="1" applyAlignment="1">
      <alignment horizontal="center" vertical="center"/>
    </xf>
    <xf numFmtId="41" fontId="29" fillId="0" borderId="33" xfId="830" applyFont="1" applyFill="1" applyBorder="1" applyAlignment="1">
      <alignment horizontal="left" vertical="center" shrinkToFit="1"/>
    </xf>
    <xf numFmtId="0" fontId="29" fillId="0" borderId="73" xfId="829" applyFont="1" applyBorder="1" applyAlignment="1">
      <alignment horizontal="left" vertical="center" shrinkToFit="1"/>
    </xf>
    <xf numFmtId="0" fontId="29" fillId="0" borderId="172" xfId="829" applyFont="1" applyBorder="1" applyAlignment="1">
      <alignment horizontal="left" vertical="center" shrinkToFit="1"/>
    </xf>
    <xf numFmtId="0" fontId="29" fillId="0" borderId="147" xfId="829" applyFont="1" applyBorder="1" applyAlignment="1">
      <alignment horizontal="left" vertical="center" shrinkToFit="1"/>
    </xf>
    <xf numFmtId="0" fontId="29" fillId="0" borderId="53" xfId="829" applyFont="1" applyBorder="1" applyAlignment="1">
      <alignment horizontal="left" vertical="center" shrinkToFit="1"/>
    </xf>
    <xf numFmtId="197" fontId="123" fillId="55" borderId="62" xfId="829" applyNumberFormat="1" applyFont="1" applyFill="1" applyBorder="1" applyAlignment="1">
      <alignment horizontal="right" vertical="center" shrinkToFit="1"/>
    </xf>
    <xf numFmtId="41" fontId="29" fillId="0" borderId="66" xfId="830" applyFont="1" applyFill="1" applyBorder="1" applyAlignment="1">
      <alignment horizontal="right" vertical="center" shrinkToFit="1"/>
    </xf>
    <xf numFmtId="182" fontId="29" fillId="0" borderId="67" xfId="829" applyNumberFormat="1" applyFont="1" applyBorder="1" applyAlignment="1">
      <alignment horizontal="right" vertical="center" shrinkToFit="1"/>
    </xf>
    <xf numFmtId="182" fontId="29" fillId="0" borderId="81" xfId="829" applyNumberFormat="1" applyFont="1" applyBorder="1" applyAlignment="1">
      <alignment horizontal="right" vertical="center" shrinkToFit="1"/>
    </xf>
    <xf numFmtId="182" fontId="29" fillId="0" borderId="105" xfId="829" applyNumberFormat="1" applyFont="1" applyBorder="1" applyAlignment="1">
      <alignment horizontal="right" vertical="center" shrinkToFit="1"/>
    </xf>
    <xf numFmtId="182" fontId="29" fillId="0" borderId="69" xfId="829" applyNumberFormat="1" applyFont="1" applyBorder="1" applyAlignment="1">
      <alignment horizontal="right" vertical="center" shrinkToFit="1"/>
    </xf>
    <xf numFmtId="197" fontId="123" fillId="55" borderId="173" xfId="829" applyNumberFormat="1" applyFont="1" applyFill="1" applyBorder="1" applyAlignment="1">
      <alignment horizontal="right" vertical="center" shrinkToFit="1"/>
    </xf>
    <xf numFmtId="41" fontId="29" fillId="0" borderId="174" xfId="830" applyFont="1" applyFill="1" applyBorder="1" applyAlignment="1">
      <alignment horizontal="left" vertical="center" shrinkToFit="1"/>
    </xf>
    <xf numFmtId="0" fontId="29" fillId="0" borderId="146" xfId="830" applyNumberFormat="1" applyFont="1" applyFill="1" applyBorder="1" applyAlignment="1">
      <alignment horizontal="left" vertical="center" shrinkToFit="1"/>
    </xf>
    <xf numFmtId="0" fontId="29" fillId="0" borderId="146" xfId="829" applyFont="1" applyBorder="1" applyAlignment="1">
      <alignment horizontal="left" vertical="center" shrinkToFit="1"/>
    </xf>
    <xf numFmtId="0" fontId="131" fillId="0" borderId="113" xfId="829" applyFont="1" applyBorder="1" applyAlignment="1">
      <alignment horizontal="left" vertical="center" shrinkToFit="1"/>
    </xf>
    <xf numFmtId="0" fontId="29" fillId="0" borderId="175" xfId="829" applyFont="1" applyBorder="1" applyAlignment="1">
      <alignment horizontal="left" vertical="center" shrinkToFit="1"/>
    </xf>
    <xf numFmtId="0" fontId="29" fillId="0" borderId="74" xfId="829" applyFont="1" applyBorder="1" applyAlignment="1">
      <alignment horizontal="left" vertical="center" shrinkToFit="1"/>
    </xf>
    <xf numFmtId="197" fontId="123" fillId="55" borderId="176" xfId="829" applyNumberFormat="1" applyFont="1" applyFill="1" applyBorder="1" applyAlignment="1">
      <alignment horizontal="right" vertical="center" shrinkToFit="1"/>
    </xf>
    <xf numFmtId="182" fontId="29" fillId="0" borderId="66" xfId="830" applyNumberFormat="1" applyFont="1" applyFill="1" applyBorder="1" applyAlignment="1">
      <alignment horizontal="right" vertical="center" shrinkToFit="1"/>
    </xf>
    <xf numFmtId="182" fontId="29" fillId="0" borderId="67" xfId="830" applyNumberFormat="1" applyFont="1" applyFill="1" applyBorder="1" applyAlignment="1">
      <alignment horizontal="right" vertical="center" shrinkToFit="1"/>
    </xf>
    <xf numFmtId="182" fontId="131" fillId="0" borderId="81" xfId="829" applyNumberFormat="1" applyFont="1" applyBorder="1" applyAlignment="1">
      <alignment horizontal="right" vertical="center" shrinkToFit="1"/>
    </xf>
    <xf numFmtId="41" fontId="29" fillId="0" borderId="67" xfId="830" applyFont="1" applyFill="1" applyBorder="1" applyAlignment="1">
      <alignment horizontal="right" vertical="center" shrinkToFit="1"/>
    </xf>
    <xf numFmtId="0" fontId="29" fillId="0" borderId="113" xfId="829" applyFont="1" applyBorder="1" applyAlignment="1">
      <alignment horizontal="left" vertical="center" shrinkToFit="1"/>
    </xf>
    <xf numFmtId="182" fontId="29" fillId="0" borderId="52" xfId="830" applyNumberFormat="1" applyFont="1" applyFill="1" applyBorder="1" applyAlignment="1">
      <alignment horizontal="right" vertical="center" shrinkToFit="1"/>
    </xf>
    <xf numFmtId="182" fontId="29" fillId="0" borderId="6" xfId="830" applyNumberFormat="1" applyFont="1" applyFill="1" applyBorder="1" applyAlignment="1">
      <alignment horizontal="right" vertical="center" shrinkToFit="1"/>
    </xf>
    <xf numFmtId="182" fontId="29" fillId="0" borderId="6" xfId="829" applyNumberFormat="1" applyFont="1" applyBorder="1" applyAlignment="1">
      <alignment horizontal="right" vertical="center" shrinkToFit="1"/>
    </xf>
    <xf numFmtId="182" fontId="29" fillId="0" borderId="114" xfId="829" applyNumberFormat="1" applyFont="1" applyBorder="1" applyAlignment="1">
      <alignment horizontal="right" vertical="center" shrinkToFit="1"/>
    </xf>
    <xf numFmtId="182" fontId="29" fillId="0" borderId="86" xfId="829" applyNumberFormat="1" applyFont="1" applyBorder="1" applyAlignment="1">
      <alignment horizontal="right" vertical="center" shrinkToFit="1"/>
    </xf>
    <xf numFmtId="41" fontId="29" fillId="0" borderId="6" xfId="830" applyFont="1" applyFill="1" applyBorder="1" applyAlignment="1">
      <alignment horizontal="right" vertical="center" shrinkToFit="1"/>
    </xf>
    <xf numFmtId="182" fontId="29" fillId="0" borderId="101" xfId="829" applyNumberFormat="1" applyFont="1" applyBorder="1" applyAlignment="1">
      <alignment horizontal="right" vertical="center" shrinkToFit="1"/>
    </xf>
    <xf numFmtId="197" fontId="123" fillId="55" borderId="177" xfId="829" applyNumberFormat="1" applyFont="1" applyFill="1" applyBorder="1" applyAlignment="1">
      <alignment horizontal="right" vertical="center" shrinkToFit="1"/>
    </xf>
    <xf numFmtId="0" fontId="130" fillId="54" borderId="76" xfId="829" applyFont="1" applyFill="1" applyBorder="1" applyAlignment="1">
      <alignment horizontal="center" vertical="center"/>
    </xf>
    <xf numFmtId="197" fontId="132" fillId="54" borderId="55" xfId="0" applyNumberFormat="1" applyFont="1" applyFill="1" applyBorder="1" applyAlignment="1">
      <alignment horizontal="right" vertical="center"/>
    </xf>
    <xf numFmtId="41" fontId="132" fillId="54" borderId="55" xfId="562" applyFont="1" applyFill="1" applyBorder="1" applyAlignment="1">
      <alignment horizontal="center" vertical="center"/>
    </xf>
    <xf numFmtId="197" fontId="130" fillId="40" borderId="178" xfId="830" applyNumberFormat="1" applyFont="1" applyFill="1" applyBorder="1" applyAlignment="1">
      <alignment vertical="center"/>
    </xf>
    <xf numFmtId="0" fontId="133" fillId="0" borderId="0" xfId="829" applyFont="1" applyAlignment="1">
      <alignment vertical="center"/>
    </xf>
    <xf numFmtId="197" fontId="134" fillId="39" borderId="62" xfId="830" applyNumberFormat="1" applyFont="1" applyFill="1" applyBorder="1" applyAlignment="1">
      <alignment horizontal="right" vertical="center" shrinkToFit="1"/>
    </xf>
    <xf numFmtId="0" fontId="130" fillId="0" borderId="0" xfId="829" applyFont="1" applyAlignment="1">
      <alignment vertical="center"/>
    </xf>
    <xf numFmtId="197" fontId="134" fillId="39" borderId="173" xfId="830" applyNumberFormat="1" applyFont="1" applyFill="1" applyBorder="1" applyAlignment="1">
      <alignment horizontal="right" vertical="center" shrinkToFit="1"/>
    </xf>
    <xf numFmtId="197" fontId="134" fillId="39" borderId="176" xfId="830" applyNumberFormat="1" applyFont="1" applyFill="1" applyBorder="1" applyAlignment="1">
      <alignment horizontal="right" vertical="center" shrinkToFit="1"/>
    </xf>
    <xf numFmtId="0" fontId="131" fillId="0" borderId="74" xfId="829" applyFont="1" applyBorder="1" applyAlignment="1">
      <alignment horizontal="left" vertical="center" shrinkToFit="1"/>
    </xf>
    <xf numFmtId="182" fontId="131" fillId="0" borderId="69" xfId="829" applyNumberFormat="1" applyFont="1" applyBorder="1" applyAlignment="1">
      <alignment horizontal="right" vertical="center" shrinkToFit="1"/>
    </xf>
    <xf numFmtId="197" fontId="133" fillId="0" borderId="176" xfId="830" applyNumberFormat="1" applyFont="1" applyFill="1" applyBorder="1" applyAlignment="1">
      <alignment horizontal="right" vertical="center" shrinkToFit="1"/>
    </xf>
    <xf numFmtId="197" fontId="133" fillId="0" borderId="173" xfId="830" applyNumberFormat="1" applyFont="1" applyFill="1" applyBorder="1" applyAlignment="1">
      <alignment horizontal="right" vertical="center" shrinkToFit="1"/>
    </xf>
    <xf numFmtId="0" fontId="130" fillId="54" borderId="91" xfId="829" applyFont="1" applyFill="1" applyBorder="1" applyAlignment="1">
      <alignment horizontal="center" vertical="center" shrinkToFit="1"/>
    </xf>
    <xf numFmtId="41" fontId="12" fillId="54" borderId="152" xfId="830" applyFont="1" applyFill="1" applyBorder="1" applyAlignment="1">
      <alignment vertical="center" shrinkToFit="1"/>
    </xf>
    <xf numFmtId="41" fontId="12" fillId="54" borderId="59" xfId="830" applyFont="1" applyFill="1" applyBorder="1" applyAlignment="1">
      <alignment vertical="center" shrinkToFit="1"/>
    </xf>
    <xf numFmtId="41" fontId="12" fillId="54" borderId="24" xfId="830" applyFont="1" applyFill="1" applyBorder="1" applyAlignment="1">
      <alignment vertical="center" shrinkToFit="1"/>
    </xf>
    <xf numFmtId="41" fontId="12" fillId="54" borderId="149" xfId="830" applyFont="1" applyFill="1" applyBorder="1" applyAlignment="1">
      <alignment vertical="center" shrinkToFit="1"/>
    </xf>
    <xf numFmtId="41" fontId="12" fillId="54" borderId="9" xfId="830" applyFont="1" applyFill="1" applyBorder="1" applyAlignment="1">
      <alignment vertical="center" shrinkToFit="1"/>
    </xf>
    <xf numFmtId="197" fontId="130" fillId="40" borderId="180" xfId="830" applyNumberFormat="1" applyFont="1" applyFill="1" applyBorder="1" applyAlignment="1">
      <alignment vertical="center" shrinkToFit="1"/>
    </xf>
    <xf numFmtId="0" fontId="135" fillId="0" borderId="0" xfId="829" applyFont="1" applyAlignment="1">
      <alignment horizontal="center" vertical="center" shrinkToFit="1"/>
    </xf>
    <xf numFmtId="41" fontId="135" fillId="0" borderId="0" xfId="830" applyFont="1" applyFill="1" applyBorder="1" applyAlignment="1">
      <alignment horizontal="right" vertical="center" shrinkToFit="1"/>
    </xf>
    <xf numFmtId="41" fontId="135" fillId="0" borderId="0" xfId="830" applyFont="1" applyFill="1" applyBorder="1" applyAlignment="1">
      <alignment vertical="center" shrinkToFit="1"/>
    </xf>
    <xf numFmtId="41" fontId="123" fillId="0" borderId="0" xfId="830" applyFont="1" applyFill="1" applyBorder="1" applyAlignment="1">
      <alignment horizontal="center" vertical="center" shrinkToFit="1"/>
    </xf>
    <xf numFmtId="41" fontId="123" fillId="0" borderId="0" xfId="830" applyFont="1" applyFill="1" applyBorder="1" applyAlignment="1">
      <alignment horizontal="left" vertical="center" shrinkToFit="1"/>
    </xf>
    <xf numFmtId="41" fontId="127" fillId="0" borderId="0" xfId="830" applyFont="1" applyFill="1" applyBorder="1" applyAlignment="1">
      <alignment horizontal="right" vertical="center" shrinkToFit="1"/>
    </xf>
    <xf numFmtId="178" fontId="123" fillId="0" borderId="0" xfId="830" applyNumberFormat="1" applyFont="1" applyFill="1" applyBorder="1" applyAlignment="1">
      <alignment horizontal="center" vertical="center" shrinkToFit="1"/>
    </xf>
    <xf numFmtId="0" fontId="125" fillId="0" borderId="0" xfId="829" applyFont="1" applyAlignment="1">
      <alignment vertical="center" shrinkToFit="1"/>
    </xf>
    <xf numFmtId="0" fontId="136" fillId="0" borderId="0" xfId="829" applyFont="1" applyAlignment="1">
      <alignment vertical="center" shrinkToFit="1"/>
    </xf>
    <xf numFmtId="41" fontId="136" fillId="0" borderId="0" xfId="830" applyFont="1" applyFill="1" applyAlignment="1">
      <alignment horizontal="right" vertical="center" shrinkToFit="1"/>
    </xf>
    <xf numFmtId="197" fontId="136" fillId="0" borderId="0" xfId="829" applyNumberFormat="1" applyFont="1" applyAlignment="1">
      <alignment vertical="center" shrinkToFit="1"/>
    </xf>
    <xf numFmtId="0" fontId="63" fillId="54" borderId="153" xfId="0" applyFont="1" applyFill="1" applyBorder="1" applyAlignment="1">
      <alignment horizontal="center" vertical="center"/>
    </xf>
    <xf numFmtId="0" fontId="63" fillId="54" borderId="154" xfId="0" applyFont="1" applyFill="1" applyBorder="1" applyAlignment="1">
      <alignment horizontal="center" vertical="center"/>
    </xf>
    <xf numFmtId="0" fontId="63" fillId="54" borderId="181" xfId="0" applyFont="1" applyFill="1" applyBorder="1" applyAlignment="1">
      <alignment horizontal="center" vertical="center"/>
    </xf>
    <xf numFmtId="0" fontId="137" fillId="39" borderId="31" xfId="829" applyFont="1" applyFill="1" applyBorder="1" applyAlignment="1">
      <alignment horizontal="center" vertical="center"/>
    </xf>
    <xf numFmtId="209" fontId="131" fillId="39" borderId="31" xfId="806" applyNumberFormat="1" applyFont="1" applyFill="1" applyBorder="1" applyAlignment="1">
      <alignment horizontal="center" vertical="center"/>
    </xf>
    <xf numFmtId="182" fontId="131" fillId="39" borderId="67" xfId="829" applyNumberFormat="1" applyFont="1" applyFill="1" applyBorder="1" applyAlignment="1">
      <alignment horizontal="right" vertical="center"/>
    </xf>
    <xf numFmtId="179" fontId="73" fillId="39" borderId="31" xfId="760" applyNumberFormat="1" applyFont="1" applyFill="1" applyBorder="1">
      <alignment vertical="center"/>
    </xf>
    <xf numFmtId="179" fontId="73" fillId="39" borderId="82" xfId="760" applyNumberFormat="1" applyFont="1" applyFill="1" applyBorder="1">
      <alignment vertical="center"/>
    </xf>
    <xf numFmtId="0" fontId="131" fillId="39" borderId="182" xfId="829" applyFont="1" applyFill="1" applyBorder="1" applyAlignment="1">
      <alignment horizontal="left" vertical="center"/>
    </xf>
    <xf numFmtId="211" fontId="131" fillId="39" borderId="31" xfId="0" applyNumberFormat="1" applyFont="1" applyFill="1" applyBorder="1" applyAlignment="1">
      <alignment horizontal="center" vertical="center"/>
    </xf>
    <xf numFmtId="182" fontId="131" fillId="39" borderId="68" xfId="829" applyNumberFormat="1" applyFont="1" applyFill="1" applyBorder="1" applyAlignment="1">
      <alignment horizontal="right" vertical="center"/>
    </xf>
    <xf numFmtId="41" fontId="56" fillId="0" borderId="50" xfId="830" applyFont="1" applyBorder="1">
      <alignment vertical="center"/>
    </xf>
    <xf numFmtId="41" fontId="56" fillId="0" borderId="31" xfId="830" applyFont="1" applyBorder="1">
      <alignment vertical="center"/>
    </xf>
    <xf numFmtId="41" fontId="73" fillId="39" borderId="31" xfId="830" applyFont="1" applyFill="1" applyBorder="1" applyAlignment="1">
      <alignment vertical="center"/>
    </xf>
    <xf numFmtId="41" fontId="73" fillId="39" borderId="82" xfId="830" applyFont="1" applyFill="1" applyBorder="1" applyAlignment="1">
      <alignment vertical="center"/>
    </xf>
    <xf numFmtId="0" fontId="63" fillId="0" borderId="153" xfId="0" applyFont="1" applyBorder="1" applyAlignment="1">
      <alignment vertical="center"/>
    </xf>
    <xf numFmtId="0" fontId="63" fillId="0" borderId="154" xfId="0" applyFont="1" applyBorder="1" applyAlignment="1">
      <alignment vertical="center"/>
    </xf>
    <xf numFmtId="41" fontId="63" fillId="0" borderId="154" xfId="830" applyFont="1" applyBorder="1" applyAlignment="1">
      <alignment horizontal="right" vertical="center"/>
    </xf>
    <xf numFmtId="0" fontId="138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41" fontId="63" fillId="0" borderId="0" xfId="830" applyFont="1" applyBorder="1" applyAlignment="1">
      <alignment horizontal="right" vertical="center"/>
    </xf>
    <xf numFmtId="41" fontId="0" fillId="0" borderId="0" xfId="830" applyFont="1" applyAlignment="1">
      <alignment horizontal="right" vertical="center"/>
    </xf>
    <xf numFmtId="0" fontId="21" fillId="0" borderId="0" xfId="752" applyFont="1" applyAlignment="1">
      <alignment vertical="center"/>
    </xf>
    <xf numFmtId="0" fontId="21" fillId="51" borderId="1" xfId="752" applyFont="1" applyFill="1" applyBorder="1" applyAlignment="1">
      <alignment vertical="center"/>
    </xf>
    <xf numFmtId="0" fontId="21" fillId="51" borderId="55" xfId="752" applyFont="1" applyFill="1" applyBorder="1" applyAlignment="1">
      <alignment vertical="center"/>
    </xf>
    <xf numFmtId="41" fontId="21" fillId="51" borderId="55" xfId="563" applyFont="1" applyFill="1" applyBorder="1" applyAlignment="1">
      <alignment horizontal="center" vertical="center"/>
    </xf>
    <xf numFmtId="41" fontId="21" fillId="51" borderId="55" xfId="563" applyFont="1" applyFill="1" applyBorder="1" applyAlignment="1">
      <alignment vertical="center"/>
    </xf>
    <xf numFmtId="0" fontId="17" fillId="37" borderId="55" xfId="752" applyFont="1" applyFill="1" applyBorder="1" applyAlignment="1">
      <alignment horizontal="center" vertical="center" shrinkToFit="1"/>
    </xf>
    <xf numFmtId="0" fontId="21" fillId="51" borderId="75" xfId="752" applyFont="1" applyFill="1" applyBorder="1" applyAlignment="1">
      <alignment horizontal="center" vertical="center"/>
    </xf>
    <xf numFmtId="0" fontId="21" fillId="51" borderId="44" xfId="752" applyFont="1" applyFill="1" applyBorder="1" applyAlignment="1">
      <alignment horizontal="center" vertical="center"/>
    </xf>
    <xf numFmtId="41" fontId="21" fillId="51" borderId="2" xfId="563" applyFont="1" applyFill="1" applyBorder="1" applyAlignment="1">
      <alignment horizontal="center" vertical="center"/>
    </xf>
    <xf numFmtId="0" fontId="17" fillId="37" borderId="75" xfId="752" applyFont="1" applyFill="1" applyBorder="1" applyAlignment="1">
      <alignment horizontal="center" vertical="center" shrinkToFit="1"/>
    </xf>
    <xf numFmtId="41" fontId="103" fillId="0" borderId="55" xfId="562" applyFont="1" applyBorder="1" applyAlignment="1">
      <alignment horizontal="center" vertical="center"/>
    </xf>
    <xf numFmtId="178" fontId="103" fillId="0" borderId="162" xfId="752" applyNumberFormat="1" applyFont="1" applyBorder="1" applyAlignment="1">
      <alignment horizontal="center" vertical="center"/>
    </xf>
    <xf numFmtId="178" fontId="17" fillId="0" borderId="0" xfId="752" applyNumberFormat="1" applyFont="1" applyAlignment="1">
      <alignment horizontal="center" vertical="center"/>
    </xf>
    <xf numFmtId="0" fontId="21" fillId="51" borderId="55" xfId="752" applyFont="1" applyFill="1" applyBorder="1" applyAlignment="1">
      <alignment horizontal="center" vertical="center"/>
    </xf>
    <xf numFmtId="41" fontId="21" fillId="51" borderId="1" xfId="563" applyFont="1" applyFill="1" applyBorder="1" applyAlignment="1">
      <alignment horizontal="center" vertical="center"/>
    </xf>
    <xf numFmtId="0" fontId="21" fillId="51" borderId="1" xfId="752" applyFont="1" applyFill="1" applyBorder="1" applyAlignment="1">
      <alignment horizontal="center" vertical="center" wrapText="1"/>
    </xf>
    <xf numFmtId="179" fontId="17" fillId="0" borderId="55" xfId="752" applyNumberFormat="1" applyFont="1" applyBorder="1" applyAlignment="1">
      <alignment horizontal="center" vertical="center"/>
    </xf>
    <xf numFmtId="0" fontId="17" fillId="37" borderId="55" xfId="752" applyFont="1" applyFill="1" applyBorder="1" applyAlignment="1">
      <alignment horizontal="center" vertical="center"/>
    </xf>
    <xf numFmtId="179" fontId="103" fillId="0" borderId="55" xfId="752" applyNumberFormat="1" applyFont="1" applyBorder="1" applyAlignment="1">
      <alignment horizontal="center" vertical="center"/>
    </xf>
    <xf numFmtId="0" fontId="17" fillId="0" borderId="55" xfId="752" applyFont="1" applyBorder="1" applyAlignment="1">
      <alignment horizontal="center" vertical="center"/>
    </xf>
    <xf numFmtId="0" fontId="17" fillId="0" borderId="0" xfId="752" applyFont="1" applyAlignment="1">
      <alignment horizontal="center" vertical="center"/>
    </xf>
    <xf numFmtId="179" fontId="17" fillId="0" borderId="0" xfId="752" applyNumberFormat="1" applyFont="1" applyAlignment="1">
      <alignment horizontal="center" vertical="center"/>
    </xf>
    <xf numFmtId="0" fontId="21" fillId="51" borderId="55" xfId="752" applyFont="1" applyFill="1" applyBorder="1" applyAlignment="1">
      <alignment horizontal="center" vertical="center" wrapText="1"/>
    </xf>
    <xf numFmtId="208" fontId="17" fillId="0" borderId="55" xfId="752" applyNumberFormat="1" applyFont="1" applyBorder="1" applyAlignment="1">
      <alignment horizontal="center" vertical="center"/>
    </xf>
    <xf numFmtId="41" fontId="21" fillId="0" borderId="0" xfId="563" applyFont="1" applyFill="1" applyBorder="1" applyAlignment="1">
      <alignment vertical="center"/>
    </xf>
    <xf numFmtId="207" fontId="21" fillId="37" borderId="32" xfId="563" applyNumberFormat="1" applyFont="1" applyFill="1" applyBorder="1" applyAlignment="1" applyProtection="1">
      <alignment horizontal="right" vertical="center" wrapText="1"/>
      <protection locked="0"/>
    </xf>
    <xf numFmtId="207" fontId="17" fillId="0" borderId="55" xfId="563" applyNumberFormat="1" applyFont="1" applyFill="1" applyBorder="1" applyAlignment="1" applyProtection="1">
      <alignment horizontal="right" vertical="center" wrapText="1"/>
      <protection locked="0"/>
    </xf>
    <xf numFmtId="207" fontId="17" fillId="37" borderId="55" xfId="563" applyNumberFormat="1" applyFont="1" applyFill="1" applyBorder="1" applyAlignment="1" applyProtection="1">
      <alignment horizontal="right" vertical="center" wrapText="1"/>
      <protection locked="0"/>
    </xf>
    <xf numFmtId="0" fontId="25" fillId="0" borderId="0" xfId="752" applyAlignment="1">
      <alignment vertical="center" wrapText="1"/>
    </xf>
    <xf numFmtId="41" fontId="21" fillId="0" borderId="0" xfId="563" applyFont="1" applyFill="1" applyBorder="1" applyAlignment="1">
      <alignment vertical="center" wrapText="1"/>
    </xf>
    <xf numFmtId="209" fontId="73" fillId="0" borderId="0" xfId="507" applyNumberFormat="1" applyFont="1" applyFill="1" applyBorder="1" applyAlignment="1">
      <alignment horizontal="right" vertical="center" wrapText="1" shrinkToFit="1"/>
    </xf>
    <xf numFmtId="208" fontId="73" fillId="0" borderId="0" xfId="507" applyNumberFormat="1" applyFont="1" applyFill="1" applyBorder="1" applyAlignment="1">
      <alignment horizontal="right" vertical="center" wrapText="1" shrinkToFit="1"/>
    </xf>
    <xf numFmtId="41" fontId="21" fillId="51" borderId="44" xfId="563" applyFont="1" applyFill="1" applyBorder="1" applyAlignment="1">
      <alignment horizontal="center" vertical="center" wrapText="1"/>
    </xf>
    <xf numFmtId="14" fontId="103" fillId="0" borderId="55" xfId="752" applyNumberFormat="1" applyFont="1" applyBorder="1" applyAlignment="1">
      <alignment horizontal="center" vertical="center" wrapText="1"/>
    </xf>
    <xf numFmtId="179" fontId="17" fillId="0" borderId="0" xfId="563" applyNumberFormat="1" applyFont="1" applyFill="1" applyBorder="1" applyAlignment="1" applyProtection="1">
      <alignment horizontal="center" vertical="center" wrapText="1"/>
      <protection locked="0"/>
    </xf>
    <xf numFmtId="179" fontId="17" fillId="0" borderId="55" xfId="752" applyNumberFormat="1" applyFont="1" applyBorder="1" applyAlignment="1">
      <alignment horizontal="center" vertical="center" wrapText="1"/>
    </xf>
    <xf numFmtId="0" fontId="17" fillId="0" borderId="55" xfId="752" applyFont="1" applyBorder="1" applyAlignment="1">
      <alignment horizontal="center" vertical="center" wrapText="1"/>
    </xf>
    <xf numFmtId="0" fontId="17" fillId="0" borderId="0" xfId="752" applyFont="1" applyAlignment="1">
      <alignment horizontal="center" vertical="center" wrapText="1"/>
    </xf>
    <xf numFmtId="9" fontId="82" fillId="0" borderId="0" xfId="506" applyFont="1" applyAlignment="1">
      <alignment vertical="center"/>
    </xf>
    <xf numFmtId="212" fontId="49" fillId="0" borderId="0" xfId="0" applyNumberFormat="1" applyFont="1" applyAlignment="1">
      <alignment horizontal="centerContinuous" vertical="center"/>
    </xf>
    <xf numFmtId="14" fontId="10" fillId="0" borderId="0" xfId="0" applyNumberFormat="1" applyFont="1" applyAlignment="1">
      <alignment vertical="center"/>
    </xf>
    <xf numFmtId="0" fontId="139" fillId="0" borderId="0" xfId="0" applyFont="1"/>
    <xf numFmtId="14" fontId="139" fillId="0" borderId="0" xfId="0" applyNumberFormat="1" applyFont="1"/>
    <xf numFmtId="213" fontId="73" fillId="0" borderId="0" xfId="506" applyNumberFormat="1" applyFont="1" applyFill="1" applyBorder="1" applyAlignment="1">
      <alignment horizontal="right" vertical="center" shrinkToFit="1"/>
    </xf>
    <xf numFmtId="41" fontId="74" fillId="41" borderId="55" xfId="562" applyFont="1" applyFill="1" applyBorder="1" applyAlignment="1">
      <alignment vertical="center"/>
    </xf>
    <xf numFmtId="41" fontId="12" fillId="54" borderId="161" xfId="830" applyFont="1" applyFill="1" applyBorder="1" applyAlignment="1">
      <alignment horizontal="right" vertical="center" wrapText="1"/>
    </xf>
    <xf numFmtId="41" fontId="12" fillId="54" borderId="55" xfId="830" applyFont="1" applyFill="1" applyBorder="1" applyAlignment="1">
      <alignment horizontal="right" vertical="center" wrapText="1"/>
    </xf>
    <xf numFmtId="41" fontId="12" fillId="54" borderId="183" xfId="830" applyFont="1" applyFill="1" applyBorder="1" applyAlignment="1">
      <alignment horizontal="right" vertical="center" wrapText="1"/>
    </xf>
    <xf numFmtId="41" fontId="12" fillId="54" borderId="56" xfId="830" applyFont="1" applyFill="1" applyBorder="1" applyAlignment="1">
      <alignment horizontal="right" vertical="center" wrapText="1"/>
    </xf>
    <xf numFmtId="41" fontId="12" fillId="54" borderId="76" xfId="830" applyFont="1" applyFill="1" applyBorder="1" applyAlignment="1">
      <alignment horizontal="right" vertical="center" wrapText="1"/>
    </xf>
    <xf numFmtId="0" fontId="131" fillId="0" borderId="73" xfId="829" applyFont="1" applyBorder="1" applyAlignment="1">
      <alignment horizontal="left" vertical="center" shrinkToFit="1"/>
    </xf>
    <xf numFmtId="182" fontId="131" fillId="0" borderId="67" xfId="829" applyNumberFormat="1" applyFont="1" applyBorder="1" applyAlignment="1">
      <alignment horizontal="right" vertical="center" shrinkToFit="1"/>
    </xf>
    <xf numFmtId="179" fontId="75" fillId="0" borderId="32" xfId="562" applyNumberFormat="1" applyFont="1" applyBorder="1" applyAlignment="1">
      <alignment vertical="center" shrinkToFit="1"/>
    </xf>
    <xf numFmtId="179" fontId="13" fillId="0" borderId="48" xfId="562" applyNumberFormat="1" applyFont="1" applyFill="1" applyBorder="1" applyAlignment="1" applyProtection="1">
      <alignment horizontal="right" vertical="center" shrinkToFit="1"/>
    </xf>
    <xf numFmtId="179" fontId="13" fillId="0" borderId="47" xfId="562" applyNumberFormat="1" applyFont="1" applyFill="1" applyBorder="1" applyAlignment="1" applyProtection="1">
      <alignment horizontal="right" vertical="center" shrinkToFit="1"/>
    </xf>
    <xf numFmtId="0" fontId="12" fillId="3" borderId="116" xfId="0" applyFont="1" applyFill="1" applyBorder="1" applyAlignment="1">
      <alignment horizontal="center" vertical="center" shrinkToFit="1"/>
    </xf>
    <xf numFmtId="0" fontId="12" fillId="3" borderId="145" xfId="0" applyFont="1" applyFill="1" applyBorder="1" applyAlignment="1">
      <alignment horizontal="center" vertical="center" shrinkToFit="1"/>
    </xf>
    <xf numFmtId="0" fontId="12" fillId="3" borderId="115" xfId="0" applyFont="1" applyFill="1" applyBorder="1" applyAlignment="1">
      <alignment horizontal="center" vertical="center" shrinkToFit="1"/>
    </xf>
    <xf numFmtId="41" fontId="71" fillId="0" borderId="94" xfId="0" applyNumberFormat="1" applyFont="1" applyBorder="1" applyAlignment="1" applyProtection="1">
      <alignment horizontal="center" vertical="center" shrinkToFit="1"/>
      <protection locked="0"/>
    </xf>
    <xf numFmtId="41" fontId="71" fillId="0" borderId="88" xfId="0" applyNumberFormat="1" applyFont="1" applyBorder="1" applyAlignment="1" applyProtection="1">
      <alignment horizontal="center" vertical="center" shrinkToFit="1"/>
      <protection locked="0"/>
    </xf>
    <xf numFmtId="41" fontId="71" fillId="0" borderId="93" xfId="0" applyNumberFormat="1" applyFont="1" applyBorder="1" applyAlignment="1" applyProtection="1">
      <alignment horizontal="center" vertical="center" shrinkToFit="1"/>
      <protection locked="0"/>
    </xf>
    <xf numFmtId="41" fontId="71" fillId="0" borderId="77" xfId="0" applyNumberFormat="1" applyFont="1" applyBorder="1" applyAlignment="1" applyProtection="1">
      <alignment horizontal="center" vertical="center" shrinkToFit="1"/>
      <protection locked="0"/>
    </xf>
    <xf numFmtId="41" fontId="71" fillId="0" borderId="118" xfId="0" applyNumberFormat="1" applyFont="1" applyBorder="1" applyAlignment="1" applyProtection="1">
      <alignment horizontal="center" vertical="center" shrinkToFit="1"/>
      <protection locked="0"/>
    </xf>
    <xf numFmtId="41" fontId="71" fillId="0" borderId="95" xfId="0" applyNumberFormat="1" applyFont="1" applyBorder="1" applyAlignment="1" applyProtection="1">
      <alignment horizontal="center" vertical="center" shrinkToFit="1"/>
      <protection locked="0"/>
    </xf>
    <xf numFmtId="41" fontId="71" fillId="0" borderId="20" xfId="0" applyNumberFormat="1" applyFont="1" applyBorder="1" applyAlignment="1" applyProtection="1">
      <alignment horizontal="center" vertical="center" shrinkToFit="1"/>
      <protection locked="0"/>
    </xf>
    <xf numFmtId="41" fontId="71" fillId="0" borderId="122" xfId="0" applyNumberFormat="1" applyFont="1" applyBorder="1" applyAlignment="1" applyProtection="1">
      <alignment horizontal="center" vertical="center" shrinkToFit="1"/>
      <protection locked="0"/>
    </xf>
    <xf numFmtId="41" fontId="71" fillId="0" borderId="47" xfId="0" applyNumberFormat="1" applyFont="1" applyBorder="1" applyAlignment="1">
      <alignment horizontal="center" vertical="center" shrinkToFit="1"/>
    </xf>
    <xf numFmtId="41" fontId="71" fillId="0" borderId="117" xfId="0" applyNumberFormat="1" applyFont="1" applyBorder="1" applyAlignment="1">
      <alignment horizontal="center" vertical="center" shrinkToFit="1"/>
    </xf>
    <xf numFmtId="41" fontId="71" fillId="0" borderId="88" xfId="0" applyNumberFormat="1" applyFont="1" applyBorder="1" applyAlignment="1">
      <alignment horizontal="center" vertical="center" shrinkToFit="1"/>
    </xf>
    <xf numFmtId="41" fontId="71" fillId="0" borderId="93" xfId="0" applyNumberFormat="1" applyFont="1" applyBorder="1" applyAlignment="1">
      <alignment horizontal="center" vertical="center" shrinkToFit="1"/>
    </xf>
    <xf numFmtId="41" fontId="71" fillId="0" borderId="118" xfId="0" applyNumberFormat="1" applyFont="1" applyBorder="1" applyAlignment="1">
      <alignment horizontal="center" vertical="center" shrinkToFit="1"/>
    </xf>
    <xf numFmtId="41" fontId="71" fillId="0" borderId="95" xfId="0" applyNumberFormat="1" applyFont="1" applyBorder="1" applyAlignment="1">
      <alignment horizontal="center" vertical="center" shrinkToFit="1"/>
    </xf>
    <xf numFmtId="179" fontId="13" fillId="0" borderId="94" xfId="562" applyNumberFormat="1" applyFont="1" applyFill="1" applyBorder="1" applyAlignment="1" applyProtection="1">
      <alignment horizontal="right" vertical="center" shrinkToFit="1"/>
    </xf>
    <xf numFmtId="179" fontId="13" fillId="0" borderId="88" xfId="562" applyNumberFormat="1" applyFont="1" applyFill="1" applyBorder="1" applyAlignment="1" applyProtection="1">
      <alignment horizontal="right" vertical="center" shrinkToFit="1"/>
    </xf>
    <xf numFmtId="179" fontId="13" fillId="0" borderId="77" xfId="562" applyNumberFormat="1" applyFont="1" applyFill="1" applyBorder="1" applyAlignment="1" applyProtection="1">
      <alignment horizontal="right" vertical="center" shrinkToFit="1"/>
    </xf>
    <xf numFmtId="179" fontId="13" fillId="0" borderId="118" xfId="562" applyNumberFormat="1" applyFont="1" applyFill="1" applyBorder="1" applyAlignment="1" applyProtection="1">
      <alignment horizontal="right" vertical="center" shrinkToFit="1"/>
    </xf>
    <xf numFmtId="41" fontId="71" fillId="0" borderId="48" xfId="0" applyNumberFormat="1" applyFont="1" applyBorder="1" applyAlignment="1" applyProtection="1">
      <alignment horizontal="center" vertical="center" shrinkToFit="1"/>
      <protection locked="0"/>
    </xf>
    <xf numFmtId="41" fontId="71" fillId="0" borderId="47" xfId="0" applyNumberFormat="1" applyFont="1" applyBorder="1" applyAlignment="1" applyProtection="1">
      <alignment horizontal="center" vertical="center" shrinkToFit="1"/>
      <protection locked="0"/>
    </xf>
    <xf numFmtId="41" fontId="71" fillId="0" borderId="117" xfId="0" applyNumberFormat="1" applyFont="1" applyBorder="1" applyAlignment="1" applyProtection="1">
      <alignment horizontal="center" vertical="center" shrinkToFit="1"/>
      <protection locked="0"/>
    </xf>
    <xf numFmtId="0" fontId="12" fillId="3" borderId="35" xfId="0" applyFont="1" applyFill="1" applyBorder="1" applyAlignment="1">
      <alignment horizontal="center" vertical="center" wrapText="1" shrinkToFit="1"/>
    </xf>
    <xf numFmtId="0" fontId="12" fillId="3" borderId="62" xfId="0" applyFont="1" applyFill="1" applyBorder="1" applyAlignment="1">
      <alignment horizontal="center" vertical="center" shrinkToFit="1"/>
    </xf>
    <xf numFmtId="0" fontId="12" fillId="3" borderId="19" xfId="0" applyFont="1" applyFill="1" applyBorder="1" applyAlignment="1">
      <alignment horizontal="center" vertical="center" shrinkToFit="1"/>
    </xf>
    <xf numFmtId="0" fontId="12" fillId="3" borderId="123" xfId="0" applyFont="1" applyFill="1" applyBorder="1" applyAlignment="1">
      <alignment horizontal="center" vertical="center" shrinkToFit="1"/>
    </xf>
    <xf numFmtId="0" fontId="80" fillId="0" borderId="121" xfId="0" applyFont="1" applyBorder="1" applyAlignment="1">
      <alignment horizontal="center" vertical="center" shrinkToFit="1"/>
    </xf>
    <xf numFmtId="0" fontId="80" fillId="0" borderId="58" xfId="0" applyFont="1" applyBorder="1" applyAlignment="1">
      <alignment horizontal="center" vertical="center" shrinkToFit="1"/>
    </xf>
    <xf numFmtId="0" fontId="12" fillId="3" borderId="147" xfId="0" applyFont="1" applyFill="1" applyBorder="1" applyAlignment="1">
      <alignment horizontal="center" vertical="center" shrinkToFit="1"/>
    </xf>
    <xf numFmtId="0" fontId="12" fillId="3" borderId="73" xfId="0" applyFont="1" applyFill="1" applyBorder="1" applyAlignment="1">
      <alignment horizontal="center" vertical="center" shrinkToFit="1"/>
    </xf>
    <xf numFmtId="0" fontId="12" fillId="3" borderId="53" xfId="0" applyFont="1" applyFill="1" applyBorder="1" applyAlignment="1">
      <alignment horizontal="center" vertical="center" shrinkToFit="1"/>
    </xf>
    <xf numFmtId="41" fontId="13" fillId="0" borderId="11" xfId="0" applyNumberFormat="1" applyFont="1" applyBorder="1" applyAlignment="1" applyProtection="1">
      <alignment horizontal="center" vertical="center" shrinkToFit="1"/>
      <protection locked="0"/>
    </xf>
    <xf numFmtId="41" fontId="13" fillId="0" borderId="20" xfId="0" applyNumberFormat="1" applyFont="1" applyBorder="1" applyAlignment="1" applyProtection="1">
      <alignment horizontal="center" vertical="center" shrinkToFit="1"/>
      <protection locked="0"/>
    </xf>
    <xf numFmtId="41" fontId="13" fillId="0" borderId="122" xfId="0" applyNumberFormat="1" applyFont="1" applyBorder="1" applyAlignment="1" applyProtection="1">
      <alignment horizontal="center" vertical="center" shrinkToFit="1"/>
      <protection locked="0"/>
    </xf>
    <xf numFmtId="179" fontId="13" fillId="0" borderId="11" xfId="562" applyNumberFormat="1" applyFont="1" applyFill="1" applyBorder="1" applyAlignment="1">
      <alignment horizontal="right" vertical="center" shrinkToFit="1"/>
    </xf>
    <xf numFmtId="179" fontId="13" fillId="0" borderId="20" xfId="562" applyNumberFormat="1" applyFont="1" applyFill="1" applyBorder="1" applyAlignment="1">
      <alignment horizontal="right" vertical="center" shrinkToFit="1"/>
    </xf>
    <xf numFmtId="179" fontId="13" fillId="0" borderId="48" xfId="562" applyNumberFormat="1" applyFont="1" applyFill="1" applyBorder="1" applyAlignment="1">
      <alignment horizontal="right" vertical="center" shrinkToFit="1"/>
    </xf>
    <xf numFmtId="179" fontId="13" fillId="0" borderId="47" xfId="562" applyNumberFormat="1" applyFont="1" applyFill="1" applyBorder="1" applyAlignment="1">
      <alignment horizontal="right" vertical="center" shrinkToFit="1"/>
    </xf>
    <xf numFmtId="180" fontId="13" fillId="0" borderId="55" xfId="0" applyNumberFormat="1" applyFont="1" applyBorder="1" applyAlignment="1" applyProtection="1">
      <alignment horizontal="center" vertical="center" shrinkToFit="1"/>
      <protection locked="0"/>
    </xf>
    <xf numFmtId="180" fontId="13" fillId="0" borderId="76" xfId="0" applyNumberFormat="1" applyFont="1" applyBorder="1" applyAlignment="1" applyProtection="1">
      <alignment horizontal="center" vertical="center" shrinkToFit="1"/>
      <protection locked="0"/>
    </xf>
    <xf numFmtId="198" fontId="13" fillId="0" borderId="148" xfId="0" applyNumberFormat="1" applyFont="1" applyBorder="1" applyAlignment="1">
      <alignment horizontal="center" vertical="center" shrinkToFit="1"/>
    </xf>
    <xf numFmtId="198" fontId="13" fillId="0" borderId="75" xfId="0" applyNumberFormat="1" applyFont="1" applyBorder="1" applyAlignment="1">
      <alignment horizontal="center" vertical="center" shrinkToFit="1"/>
    </xf>
    <xf numFmtId="198" fontId="13" fillId="0" borderId="149" xfId="0" applyNumberFormat="1" applyFont="1" applyBorder="1" applyAlignment="1">
      <alignment horizontal="center" vertical="center" shrinkToFit="1"/>
    </xf>
    <xf numFmtId="198" fontId="13" fillId="0" borderId="8" xfId="0" applyNumberFormat="1" applyFont="1" applyBorder="1" applyAlignment="1">
      <alignment horizontal="center" vertical="center" shrinkToFit="1"/>
    </xf>
    <xf numFmtId="198" fontId="13" fillId="0" borderId="55" xfId="0" applyNumberFormat="1" applyFont="1" applyBorder="1" applyAlignment="1">
      <alignment horizontal="center" vertical="center" shrinkToFit="1"/>
    </xf>
    <xf numFmtId="198" fontId="13" fillId="0" borderId="76" xfId="0" applyNumberFormat="1" applyFont="1" applyBorder="1" applyAlignment="1">
      <alignment horizontal="center" vertical="center" shrinkToFit="1"/>
    </xf>
    <xf numFmtId="198" fontId="13" fillId="0" borderId="59" xfId="0" applyNumberFormat="1" applyFont="1" applyBorder="1" applyAlignment="1">
      <alignment horizontal="center" vertical="center" shrinkToFit="1"/>
    </xf>
    <xf numFmtId="198" fontId="13" fillId="0" borderId="9" xfId="0" applyNumberFormat="1" applyFont="1" applyBorder="1" applyAlignment="1">
      <alignment horizontal="center" vertical="center" shrinkToFit="1"/>
    </xf>
    <xf numFmtId="0" fontId="80" fillId="0" borderId="107" xfId="0" applyFont="1" applyBorder="1" applyAlignment="1">
      <alignment horizontal="center" vertical="center" shrinkToFit="1"/>
    </xf>
    <xf numFmtId="0" fontId="80" fillId="0" borderId="86" xfId="0" applyFont="1" applyBorder="1" applyAlignment="1">
      <alignment horizontal="center" vertical="center" shrinkToFit="1"/>
    </xf>
    <xf numFmtId="0" fontId="80" fillId="0" borderId="98" xfId="0" applyFont="1" applyBorder="1" applyAlignment="1">
      <alignment horizontal="center" vertical="center" shrinkToFit="1"/>
    </xf>
    <xf numFmtId="0" fontId="80" fillId="0" borderId="60" xfId="0" applyFont="1" applyBorder="1" applyAlignment="1">
      <alignment horizontal="center" vertical="center" shrinkToFit="1"/>
    </xf>
    <xf numFmtId="0" fontId="12" fillId="3" borderId="127" xfId="0" applyFont="1" applyFill="1" applyBorder="1" applyAlignment="1">
      <alignment horizontal="center" vertical="center" shrinkToFit="1"/>
    </xf>
    <xf numFmtId="0" fontId="12" fillId="3" borderId="42" xfId="0" applyFont="1" applyFill="1" applyBorder="1" applyAlignment="1">
      <alignment horizontal="center" vertical="center" shrinkToFit="1"/>
    </xf>
    <xf numFmtId="0" fontId="80" fillId="0" borderId="96" xfId="0" applyFont="1" applyBorder="1" applyAlignment="1">
      <alignment horizontal="center" vertical="center" shrinkToFit="1"/>
    </xf>
    <xf numFmtId="0" fontId="80" fillId="0" borderId="2" xfId="0" applyFont="1" applyBorder="1" applyAlignment="1">
      <alignment horizontal="center" vertical="center" shrinkToFit="1"/>
    </xf>
    <xf numFmtId="0" fontId="80" fillId="0" borderId="120" xfId="0" applyFont="1" applyBorder="1" applyAlignment="1">
      <alignment horizontal="center" vertical="center" shrinkToFit="1"/>
    </xf>
    <xf numFmtId="0" fontId="80" fillId="0" borderId="4" xfId="0" applyFont="1" applyBorder="1" applyAlignment="1">
      <alignment horizontal="center" vertical="center" shrinkToFit="1"/>
    </xf>
    <xf numFmtId="185" fontId="6" fillId="0" borderId="0" xfId="0" applyNumberFormat="1" applyFont="1" applyAlignment="1" applyProtection="1">
      <alignment horizontal="right" vertical="center"/>
      <protection locked="0"/>
    </xf>
    <xf numFmtId="186" fontId="6" fillId="0" borderId="0" xfId="562" applyNumberFormat="1" applyFont="1" applyBorder="1" applyAlignment="1">
      <alignment horizontal="left" vertical="center"/>
    </xf>
    <xf numFmtId="0" fontId="80" fillId="0" borderId="125" xfId="0" applyFont="1" applyBorder="1" applyAlignment="1">
      <alignment horizontal="center" vertical="center" textRotation="255" shrinkToFit="1"/>
    </xf>
    <xf numFmtId="0" fontId="80" fillId="0" borderId="126" xfId="0" applyFont="1" applyBorder="1" applyAlignment="1">
      <alignment horizontal="center" vertical="center" textRotation="255" shrinkToFit="1"/>
    </xf>
    <xf numFmtId="0" fontId="80" fillId="0" borderId="119" xfId="0" applyFont="1" applyBorder="1" applyAlignment="1">
      <alignment horizontal="center" vertical="center" shrinkToFit="1"/>
    </xf>
    <xf numFmtId="0" fontId="80" fillId="0" borderId="56" xfId="0" applyFont="1" applyBorder="1" applyAlignment="1">
      <alignment horizontal="center" vertical="center" shrinkToFit="1"/>
    </xf>
    <xf numFmtId="0" fontId="12" fillId="3" borderId="73" xfId="0" applyFont="1" applyFill="1" applyBorder="1" applyAlignment="1">
      <alignment horizontal="center" vertical="center" wrapText="1" shrinkToFit="1"/>
    </xf>
    <xf numFmtId="0" fontId="12" fillId="3" borderId="110" xfId="0" applyFont="1" applyFill="1" applyBorder="1" applyAlignment="1">
      <alignment horizontal="center" vertical="center" shrinkToFit="1"/>
    </xf>
    <xf numFmtId="0" fontId="12" fillId="3" borderId="15" xfId="0" applyFont="1" applyFill="1" applyBorder="1" applyAlignment="1">
      <alignment horizontal="center" vertical="center" shrinkToFit="1"/>
    </xf>
    <xf numFmtId="0" fontId="12" fillId="3" borderId="18" xfId="0" applyFont="1" applyFill="1" applyBorder="1" applyAlignment="1">
      <alignment horizontal="center" vertical="center" shrinkToFit="1"/>
    </xf>
    <xf numFmtId="0" fontId="12" fillId="3" borderId="85" xfId="0" applyFont="1" applyFill="1" applyBorder="1" applyAlignment="1">
      <alignment horizontal="center" vertical="center" shrinkToFit="1"/>
    </xf>
    <xf numFmtId="0" fontId="80" fillId="0" borderId="129" xfId="0" applyFont="1" applyBorder="1" applyAlignment="1">
      <alignment horizontal="center" vertical="center" shrinkToFit="1"/>
    </xf>
    <xf numFmtId="0" fontId="80" fillId="0" borderId="88" xfId="0" applyFont="1" applyBorder="1" applyAlignment="1">
      <alignment horizontal="center" vertical="center" shrinkToFit="1"/>
    </xf>
    <xf numFmtId="0" fontId="80" fillId="0" borderId="130" xfId="0" applyFont="1" applyBorder="1" applyAlignment="1">
      <alignment horizontal="center" vertical="center" shrinkToFit="1"/>
    </xf>
    <xf numFmtId="0" fontId="80" fillId="0" borderId="118" xfId="0" applyFont="1" applyBorder="1" applyAlignment="1">
      <alignment horizontal="center" vertical="center" shrinkToFit="1"/>
    </xf>
    <xf numFmtId="41" fontId="13" fillId="0" borderId="148" xfId="562" applyFont="1" applyFill="1" applyBorder="1" applyAlignment="1">
      <alignment horizontal="center" vertical="center" shrinkToFit="1"/>
    </xf>
    <xf numFmtId="41" fontId="13" fillId="0" borderId="55" xfId="562" applyFont="1" applyFill="1" applyBorder="1" applyAlignment="1">
      <alignment horizontal="center" vertical="center" shrinkToFit="1"/>
    </xf>
    <xf numFmtId="0" fontId="80" fillId="0" borderId="112" xfId="0" applyFont="1" applyBorder="1" applyAlignment="1">
      <alignment horizontal="center" vertical="center" shrinkToFit="1"/>
    </xf>
    <xf numFmtId="0" fontId="80" fillId="0" borderId="46" xfId="0" applyFont="1" applyBorder="1" applyAlignment="1">
      <alignment horizontal="center" vertical="center" shrinkToFit="1"/>
    </xf>
    <xf numFmtId="0" fontId="12" fillId="3" borderId="40" xfId="0" applyFont="1" applyFill="1" applyBorder="1" applyAlignment="1">
      <alignment horizontal="center" vertical="center" shrinkToFit="1"/>
    </xf>
    <xf numFmtId="179" fontId="13" fillId="0" borderId="46" xfId="0" applyNumberFormat="1" applyFont="1" applyBorder="1" applyAlignment="1">
      <alignment horizontal="center" vertical="center" shrinkToFit="1"/>
    </xf>
    <xf numFmtId="0" fontId="80" fillId="0" borderId="140" xfId="0" applyFont="1" applyBorder="1" applyAlignment="1">
      <alignment horizontal="center" vertical="center" shrinkToFit="1"/>
    </xf>
    <xf numFmtId="0" fontId="80" fillId="0" borderId="72" xfId="0" applyFont="1" applyBorder="1" applyAlignment="1">
      <alignment horizontal="center" vertical="center" shrinkToFit="1"/>
    </xf>
    <xf numFmtId="0" fontId="12" fillId="3" borderId="33" xfId="0" applyFont="1" applyFill="1" applyBorder="1" applyAlignment="1">
      <alignment horizontal="center" vertical="center" shrinkToFit="1"/>
    </xf>
    <xf numFmtId="0" fontId="12" fillId="3" borderId="36" xfId="0" applyFont="1" applyFill="1" applyBorder="1" applyAlignment="1">
      <alignment horizontal="center" vertical="center" shrinkToFit="1"/>
    </xf>
    <xf numFmtId="0" fontId="12" fillId="3" borderId="92" xfId="0" applyFont="1" applyFill="1" applyBorder="1" applyAlignment="1">
      <alignment horizontal="center" vertical="center" shrinkToFit="1"/>
    </xf>
    <xf numFmtId="179" fontId="13" fillId="0" borderId="72" xfId="0" applyNumberFormat="1" applyFont="1" applyBorder="1" applyAlignment="1">
      <alignment horizontal="center" vertical="center" shrinkToFit="1"/>
    </xf>
    <xf numFmtId="179" fontId="13" fillId="0" borderId="94" xfId="562" applyNumberFormat="1" applyFont="1" applyFill="1" applyBorder="1" applyAlignment="1">
      <alignment horizontal="right" vertical="center" shrinkToFit="1"/>
    </xf>
    <xf numFmtId="179" fontId="13" fillId="0" borderId="88" xfId="562" applyNumberFormat="1" applyFont="1" applyFill="1" applyBorder="1" applyAlignment="1">
      <alignment horizontal="right" vertical="center" shrinkToFit="1"/>
    </xf>
    <xf numFmtId="0" fontId="12" fillId="3" borderId="108" xfId="0" applyFont="1" applyFill="1" applyBorder="1" applyAlignment="1">
      <alignment horizontal="center" vertical="center" shrinkToFit="1"/>
    </xf>
    <xf numFmtId="41" fontId="12" fillId="3" borderId="40" xfId="562" applyFont="1" applyFill="1" applyBorder="1" applyAlignment="1">
      <alignment horizontal="center" vertical="center" shrinkToFit="1"/>
    </xf>
    <xf numFmtId="0" fontId="21" fillId="3" borderId="53" xfId="0" applyFont="1" applyFill="1" applyBorder="1" applyAlignment="1">
      <alignment horizontal="center" vertical="center"/>
    </xf>
    <xf numFmtId="0" fontId="21" fillId="3" borderId="108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78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09" xfId="0" applyFont="1" applyFill="1" applyBorder="1" applyAlignment="1">
      <alignment horizontal="center" vertical="center"/>
    </xf>
    <xf numFmtId="0" fontId="21" fillId="3" borderId="73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73" xfId="0" applyFont="1" applyFill="1" applyBorder="1" applyAlignment="1">
      <alignment horizontal="center" vertical="center" wrapText="1"/>
    </xf>
    <xf numFmtId="0" fontId="79" fillId="43" borderId="0" xfId="0" applyFont="1" applyFill="1" applyAlignment="1">
      <alignment horizontal="left" vertical="center" wrapText="1"/>
    </xf>
    <xf numFmtId="0" fontId="17" fillId="2" borderId="33" xfId="0" applyFont="1" applyFill="1" applyBorder="1" applyAlignment="1">
      <alignment horizontal="center" vertical="center" wrapText="1"/>
    </xf>
    <xf numFmtId="0" fontId="17" fillId="2" borderId="52" xfId="0" applyFont="1" applyFill="1" applyBorder="1" applyAlignment="1">
      <alignment horizontal="center" vertical="center"/>
    </xf>
    <xf numFmtId="0" fontId="17" fillId="2" borderId="112" xfId="0" applyFont="1" applyFill="1" applyBorder="1" applyAlignment="1">
      <alignment horizontal="center" vertical="center"/>
    </xf>
    <xf numFmtId="0" fontId="17" fillId="2" borderId="113" xfId="0" applyFont="1" applyFill="1" applyBorder="1" applyAlignment="1">
      <alignment horizontal="center" vertical="center" wrapText="1"/>
    </xf>
    <xf numFmtId="0" fontId="17" fillId="2" borderId="114" xfId="0" applyFont="1" applyFill="1" applyBorder="1" applyAlignment="1">
      <alignment horizontal="center" vertical="center"/>
    </xf>
    <xf numFmtId="0" fontId="17" fillId="2" borderId="81" xfId="0" applyFont="1" applyFill="1" applyBorder="1" applyAlignment="1">
      <alignment horizontal="center" vertical="center"/>
    </xf>
    <xf numFmtId="0" fontId="29" fillId="42" borderId="0" xfId="0" applyFont="1" applyFill="1" applyAlignment="1">
      <alignment horizontal="left" vertical="center" wrapText="1"/>
    </xf>
    <xf numFmtId="0" fontId="91" fillId="37" borderId="150" xfId="0" applyFont="1" applyFill="1" applyBorder="1" applyAlignment="1">
      <alignment horizontal="center" vertical="center"/>
    </xf>
    <xf numFmtId="0" fontId="91" fillId="37" borderId="92" xfId="0" applyFont="1" applyFill="1" applyBorder="1" applyAlignment="1">
      <alignment horizontal="center" vertical="center"/>
    </xf>
    <xf numFmtId="0" fontId="91" fillId="37" borderId="152" xfId="0" applyFont="1" applyFill="1" applyBorder="1" applyAlignment="1">
      <alignment horizontal="center" vertical="center"/>
    </xf>
    <xf numFmtId="0" fontId="91" fillId="37" borderId="59" xfId="0" applyFont="1" applyFill="1" applyBorder="1" applyAlignment="1">
      <alignment horizontal="center" vertical="center"/>
    </xf>
    <xf numFmtId="0" fontId="7" fillId="0" borderId="55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/>
    </xf>
    <xf numFmtId="0" fontId="17" fillId="2" borderId="111" xfId="0" applyFont="1" applyFill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/>
    </xf>
    <xf numFmtId="0" fontId="30" fillId="0" borderId="121" xfId="0" applyFont="1" applyBorder="1" applyAlignment="1">
      <alignment horizontal="center" vertical="center"/>
    </xf>
    <xf numFmtId="0" fontId="30" fillId="0" borderId="58" xfId="0" applyFont="1" applyBorder="1" applyAlignment="1">
      <alignment horizontal="center" vertical="center"/>
    </xf>
    <xf numFmtId="0" fontId="31" fillId="3" borderId="119" xfId="0" applyFont="1" applyFill="1" applyBorder="1" applyAlignment="1">
      <alignment horizontal="center" vertical="center"/>
    </xf>
    <xf numFmtId="0" fontId="31" fillId="3" borderId="56" xfId="0" applyFont="1" applyFill="1" applyBorder="1" applyAlignment="1">
      <alignment horizontal="center" vertical="center"/>
    </xf>
    <xf numFmtId="0" fontId="21" fillId="0" borderId="0" xfId="752" applyFont="1" applyAlignment="1">
      <alignment horizontal="left" vertical="center"/>
    </xf>
    <xf numFmtId="179" fontId="17" fillId="0" borderId="44" xfId="752" applyNumberFormat="1" applyFont="1" applyBorder="1" applyAlignment="1">
      <alignment horizontal="center" vertical="center"/>
    </xf>
    <xf numFmtId="179" fontId="17" fillId="0" borderId="32" xfId="752" applyNumberFormat="1" applyFont="1" applyBorder="1" applyAlignment="1">
      <alignment horizontal="center" vertical="center"/>
    </xf>
    <xf numFmtId="0" fontId="21" fillId="0" borderId="5" xfId="752" applyFont="1" applyBorder="1" applyAlignment="1">
      <alignment horizontal="center" vertical="center" shrinkToFit="1"/>
    </xf>
    <xf numFmtId="0" fontId="21" fillId="51" borderId="75" xfId="752" applyFont="1" applyFill="1" applyBorder="1" applyAlignment="1">
      <alignment horizontal="center" vertical="center" shrinkToFit="1"/>
    </xf>
    <xf numFmtId="0" fontId="21" fillId="51" borderId="97" xfId="752" applyFont="1" applyFill="1" applyBorder="1" applyAlignment="1">
      <alignment horizontal="center" vertical="center" shrinkToFit="1"/>
    </xf>
    <xf numFmtId="0" fontId="21" fillId="51" borderId="90" xfId="752" applyFont="1" applyFill="1" applyBorder="1" applyAlignment="1">
      <alignment horizontal="center" vertical="center" shrinkToFit="1"/>
    </xf>
    <xf numFmtId="0" fontId="17" fillId="37" borderId="55" xfId="752" applyFont="1" applyFill="1" applyBorder="1" applyAlignment="1">
      <alignment horizontal="center" vertical="center"/>
    </xf>
    <xf numFmtId="0" fontId="17" fillId="37" borderId="44" xfId="752" applyFont="1" applyFill="1" applyBorder="1" applyAlignment="1">
      <alignment horizontal="center" vertical="center"/>
    </xf>
    <xf numFmtId="0" fontId="17" fillId="37" borderId="32" xfId="752" applyFont="1" applyFill="1" applyBorder="1" applyAlignment="1">
      <alignment horizontal="center" vertical="center"/>
    </xf>
    <xf numFmtId="0" fontId="29" fillId="44" borderId="55" xfId="752" applyFont="1" applyFill="1" applyBorder="1" applyAlignment="1">
      <alignment horizontal="center" vertical="center"/>
    </xf>
    <xf numFmtId="0" fontId="29" fillId="0" borderId="55" xfId="752" applyFont="1" applyBorder="1" applyAlignment="1">
      <alignment horizontal="center" vertical="center"/>
    </xf>
    <xf numFmtId="0" fontId="29" fillId="0" borderId="55" xfId="0" applyFont="1" applyBorder="1" applyAlignment="1">
      <alignment horizontal="center" vertical="center"/>
    </xf>
    <xf numFmtId="0" fontId="29" fillId="37" borderId="55" xfId="752" applyFont="1" applyFill="1" applyBorder="1" applyAlignment="1">
      <alignment horizontal="center" vertical="center"/>
    </xf>
    <xf numFmtId="0" fontId="29" fillId="0" borderId="55" xfId="0" applyFont="1" applyBorder="1" applyAlignment="1">
      <alignment horizontal="center" vertical="center" wrapText="1"/>
    </xf>
    <xf numFmtId="0" fontId="29" fillId="37" borderId="55" xfId="0" applyFont="1" applyFill="1" applyBorder="1" applyAlignment="1">
      <alignment horizontal="center" vertical="center"/>
    </xf>
    <xf numFmtId="183" fontId="29" fillId="44" borderId="55" xfId="752" applyNumberFormat="1" applyFont="1" applyFill="1" applyBorder="1" applyAlignment="1">
      <alignment horizontal="center" vertical="center"/>
    </xf>
    <xf numFmtId="205" fontId="82" fillId="3" borderId="44" xfId="0" applyNumberFormat="1" applyFont="1" applyFill="1" applyBorder="1" applyAlignment="1">
      <alignment horizontal="center" vertical="center"/>
    </xf>
    <xf numFmtId="205" fontId="82" fillId="3" borderId="32" xfId="0" applyNumberFormat="1" applyFont="1" applyFill="1" applyBorder="1" applyAlignment="1">
      <alignment horizontal="center" vertical="center"/>
    </xf>
    <xf numFmtId="205" fontId="82" fillId="0" borderId="75" xfId="0" applyNumberFormat="1" applyFont="1" applyBorder="1" applyAlignment="1">
      <alignment horizontal="center" vertical="center"/>
    </xf>
    <xf numFmtId="205" fontId="82" fillId="0" borderId="90" xfId="0" applyNumberFormat="1" applyFont="1" applyBorder="1" applyAlignment="1">
      <alignment horizontal="center" vertical="center"/>
    </xf>
    <xf numFmtId="205" fontId="82" fillId="0" borderId="56" xfId="0" applyNumberFormat="1" applyFont="1" applyBorder="1" applyAlignment="1">
      <alignment horizontal="center" vertical="center"/>
    </xf>
    <xf numFmtId="205" fontId="82" fillId="3" borderId="44" xfId="0" applyNumberFormat="1" applyFont="1" applyFill="1" applyBorder="1" applyAlignment="1">
      <alignment horizontal="center" vertical="center" wrapText="1"/>
    </xf>
    <xf numFmtId="205" fontId="82" fillId="3" borderId="32" xfId="0" applyNumberFormat="1" applyFont="1" applyFill="1" applyBorder="1" applyAlignment="1">
      <alignment horizontal="center" vertical="center" wrapText="1"/>
    </xf>
    <xf numFmtId="205" fontId="82" fillId="3" borderId="1" xfId="0" applyNumberFormat="1" applyFont="1" applyFill="1" applyBorder="1" applyAlignment="1">
      <alignment horizontal="center" vertical="center"/>
    </xf>
    <xf numFmtId="205" fontId="82" fillId="3" borderId="97" xfId="0" applyNumberFormat="1" applyFont="1" applyFill="1" applyBorder="1" applyAlignment="1">
      <alignment horizontal="center" vertical="center"/>
    </xf>
    <xf numFmtId="205" fontId="82" fillId="3" borderId="2" xfId="0" applyNumberFormat="1" applyFont="1" applyFill="1" applyBorder="1" applyAlignment="1">
      <alignment horizontal="center" vertical="center"/>
    </xf>
    <xf numFmtId="205" fontId="82" fillId="3" borderId="3" xfId="0" applyNumberFormat="1" applyFont="1" applyFill="1" applyBorder="1" applyAlignment="1">
      <alignment horizontal="center" vertical="center"/>
    </xf>
    <xf numFmtId="205" fontId="82" fillId="3" borderId="128" xfId="0" applyNumberFormat="1" applyFont="1" applyFill="1" applyBorder="1" applyAlignment="1">
      <alignment horizontal="center" vertical="center"/>
    </xf>
    <xf numFmtId="205" fontId="82" fillId="3" borderId="4" xfId="0" applyNumberFormat="1" applyFont="1" applyFill="1" applyBorder="1" applyAlignment="1">
      <alignment horizontal="center" vertical="center"/>
    </xf>
    <xf numFmtId="197" fontId="127" fillId="54" borderId="167" xfId="829" applyNumberFormat="1" applyFont="1" applyFill="1" applyBorder="1" applyAlignment="1">
      <alignment horizontal="center" vertical="center" wrapText="1"/>
    </xf>
    <xf numFmtId="197" fontId="127" fillId="54" borderId="171" xfId="829" applyNumberFormat="1" applyFont="1" applyFill="1" applyBorder="1" applyAlignment="1">
      <alignment horizontal="center" vertical="center" wrapText="1"/>
    </xf>
    <xf numFmtId="0" fontId="128" fillId="0" borderId="33" xfId="829" applyFont="1" applyBorder="1" applyAlignment="1">
      <alignment horizontal="center" vertical="center" wrapText="1"/>
    </xf>
    <xf numFmtId="0" fontId="128" fillId="0" borderId="52" xfId="829" applyFont="1" applyBorder="1" applyAlignment="1">
      <alignment horizontal="center" vertical="center" wrapText="1"/>
    </xf>
    <xf numFmtId="0" fontId="128" fillId="0" borderId="112" xfId="829" applyFont="1" applyBorder="1" applyAlignment="1">
      <alignment horizontal="center" vertical="center" wrapText="1"/>
    </xf>
    <xf numFmtId="49" fontId="130" fillId="51" borderId="53" xfId="829" applyNumberFormat="1" applyFont="1" applyFill="1" applyBorder="1" applyAlignment="1">
      <alignment horizontal="center" vertical="center" wrapText="1"/>
    </xf>
    <xf numFmtId="49" fontId="130" fillId="51" borderId="101" xfId="829" applyNumberFormat="1" applyFont="1" applyFill="1" applyBorder="1" applyAlignment="1">
      <alignment horizontal="center" vertical="center" wrapText="1"/>
    </xf>
    <xf numFmtId="49" fontId="130" fillId="51" borderId="160" xfId="829" applyNumberFormat="1" applyFont="1" applyFill="1" applyBorder="1" applyAlignment="1">
      <alignment horizontal="center" vertical="center" wrapText="1"/>
    </xf>
    <xf numFmtId="0" fontId="128" fillId="0" borderId="167" xfId="829" applyFont="1" applyBorder="1" applyAlignment="1">
      <alignment horizontal="center" vertical="center" shrinkToFit="1"/>
    </xf>
    <xf numFmtId="0" fontId="128" fillId="0" borderId="179" xfId="829" applyFont="1" applyBorder="1" applyAlignment="1">
      <alignment horizontal="center" vertical="center" shrinkToFit="1"/>
    </xf>
    <xf numFmtId="49" fontId="130" fillId="51" borderId="62" xfId="829" applyNumberFormat="1" applyFont="1" applyFill="1" applyBorder="1" applyAlignment="1">
      <alignment horizontal="center" vertical="center" wrapText="1" shrinkToFit="1"/>
    </xf>
    <xf numFmtId="49" fontId="130" fillId="51" borderId="177" xfId="829" applyNumberFormat="1" applyFont="1" applyFill="1" applyBorder="1" applyAlignment="1">
      <alignment horizontal="center" vertical="center" shrinkToFit="1"/>
    </xf>
    <xf numFmtId="0" fontId="127" fillId="52" borderId="28" xfId="829" applyFont="1" applyFill="1" applyBorder="1" applyAlignment="1">
      <alignment horizontal="center" vertical="center"/>
    </xf>
    <xf numFmtId="0" fontId="127" fillId="52" borderId="62" xfId="829" applyFont="1" applyFill="1" applyBorder="1" applyAlignment="1">
      <alignment horizontal="center" vertical="center"/>
    </xf>
    <xf numFmtId="0" fontId="127" fillId="52" borderId="168" xfId="829" applyFont="1" applyFill="1" applyBorder="1" applyAlignment="1">
      <alignment horizontal="center" vertical="center"/>
    </xf>
    <xf numFmtId="0" fontId="127" fillId="52" borderId="169" xfId="829" applyFont="1" applyFill="1" applyBorder="1" applyAlignment="1">
      <alignment horizontal="center" vertical="center"/>
    </xf>
    <xf numFmtId="0" fontId="43" fillId="53" borderId="163" xfId="829" applyFont="1" applyFill="1" applyBorder="1" applyAlignment="1">
      <alignment horizontal="center" vertical="center"/>
    </xf>
    <xf numFmtId="0" fontId="43" fillId="53" borderId="18" xfId="829" applyFont="1" applyFill="1" applyBorder="1" applyAlignment="1">
      <alignment horizontal="center" vertical="center"/>
    </xf>
    <xf numFmtId="0" fontId="43" fillId="53" borderId="164" xfId="829" applyFont="1" applyFill="1" applyBorder="1" applyAlignment="1">
      <alignment horizontal="center" vertical="center"/>
    </xf>
    <xf numFmtId="0" fontId="43" fillId="53" borderId="165" xfId="829" applyFont="1" applyFill="1" applyBorder="1" applyAlignment="1">
      <alignment horizontal="center" vertical="center"/>
    </xf>
    <xf numFmtId="0" fontId="43" fillId="53" borderId="166" xfId="829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6" fillId="0" borderId="27" xfId="752" applyFont="1" applyBorder="1" applyAlignment="1">
      <alignment horizontal="center" vertical="center" wrapText="1"/>
    </xf>
    <xf numFmtId="0" fontId="96" fillId="0" borderId="27" xfId="752" applyFont="1" applyBorder="1" applyAlignment="1">
      <alignment horizontal="center" vertical="center"/>
    </xf>
    <xf numFmtId="0" fontId="96" fillId="0" borderId="31" xfId="752" applyFont="1" applyBorder="1" applyAlignment="1">
      <alignment horizontal="center" vertical="center"/>
    </xf>
    <xf numFmtId="0" fontId="96" fillId="0" borderId="45" xfId="752" applyFont="1" applyBorder="1" applyAlignment="1">
      <alignment horizontal="center" vertical="center"/>
    </xf>
    <xf numFmtId="0" fontId="96" fillId="0" borderId="0" xfId="752" applyFont="1" applyAlignment="1">
      <alignment horizontal="center" vertical="center" wrapText="1"/>
    </xf>
    <xf numFmtId="0" fontId="96" fillId="0" borderId="128" xfId="752" applyFont="1" applyBorder="1" applyAlignment="1">
      <alignment horizontal="center" vertical="center" wrapText="1"/>
    </xf>
    <xf numFmtId="0" fontId="93" fillId="0" borderId="44" xfId="0" applyFont="1" applyBorder="1" applyAlignment="1">
      <alignment horizontal="center" vertical="center" wrapText="1"/>
    </xf>
    <xf numFmtId="0" fontId="93" fillId="0" borderId="6" xfId="0" applyFont="1" applyBorder="1" applyAlignment="1">
      <alignment horizontal="center" vertical="center" wrapText="1"/>
    </xf>
    <xf numFmtId="0" fontId="93" fillId="0" borderId="32" xfId="0" applyFont="1" applyBorder="1" applyAlignment="1">
      <alignment horizontal="center" vertical="center" wrapText="1"/>
    </xf>
  </cellXfs>
  <cellStyles count="832">
    <cellStyle name="20% - 강조색1" xfId="783" builtinId="30" customBuiltin="1"/>
    <cellStyle name="20% - 강조색1 10" xfId="1" xr:uid="{00000000-0005-0000-0000-000001000000}"/>
    <cellStyle name="20% - 강조색1 11" xfId="2" xr:uid="{00000000-0005-0000-0000-000002000000}"/>
    <cellStyle name="20% - 강조색1 12" xfId="3" xr:uid="{00000000-0005-0000-0000-000003000000}"/>
    <cellStyle name="20% - 강조색1 13" xfId="4" xr:uid="{00000000-0005-0000-0000-000004000000}"/>
    <cellStyle name="20% - 강조색1 14" xfId="5" xr:uid="{00000000-0005-0000-0000-000005000000}"/>
    <cellStyle name="20% - 강조색1 15" xfId="6" xr:uid="{00000000-0005-0000-0000-000006000000}"/>
    <cellStyle name="20% - 강조색1 16" xfId="7" xr:uid="{00000000-0005-0000-0000-000007000000}"/>
    <cellStyle name="20% - 강조색1 17" xfId="811" xr:uid="{00000000-0005-0000-0000-000008000000}"/>
    <cellStyle name="20% - 강조색1 2" xfId="8" xr:uid="{00000000-0005-0000-0000-000009000000}"/>
    <cellStyle name="20% - 강조색1 2 2" xfId="9" xr:uid="{00000000-0005-0000-0000-00000A000000}"/>
    <cellStyle name="20% - 강조색1 3" xfId="10" xr:uid="{00000000-0005-0000-0000-00000B000000}"/>
    <cellStyle name="20% - 강조색1 3 2" xfId="11" xr:uid="{00000000-0005-0000-0000-00000C000000}"/>
    <cellStyle name="20% - 강조색1 4" xfId="12" xr:uid="{00000000-0005-0000-0000-00000D000000}"/>
    <cellStyle name="20% - 강조색1 4 2" xfId="13" xr:uid="{00000000-0005-0000-0000-00000E000000}"/>
    <cellStyle name="20% - 강조색1 5" xfId="14" xr:uid="{00000000-0005-0000-0000-00000F000000}"/>
    <cellStyle name="20% - 강조색1 6" xfId="15" xr:uid="{00000000-0005-0000-0000-000010000000}"/>
    <cellStyle name="20% - 강조색1 7" xfId="16" xr:uid="{00000000-0005-0000-0000-000011000000}"/>
    <cellStyle name="20% - 강조색1 8" xfId="17" xr:uid="{00000000-0005-0000-0000-000012000000}"/>
    <cellStyle name="20% - 강조색1 9" xfId="18" xr:uid="{00000000-0005-0000-0000-000013000000}"/>
    <cellStyle name="20% - 강조색2" xfId="787" builtinId="34" customBuiltin="1"/>
    <cellStyle name="20% - 강조색2 10" xfId="19" xr:uid="{00000000-0005-0000-0000-000015000000}"/>
    <cellStyle name="20% - 강조색2 11" xfId="20" xr:uid="{00000000-0005-0000-0000-000016000000}"/>
    <cellStyle name="20% - 강조색2 12" xfId="21" xr:uid="{00000000-0005-0000-0000-000017000000}"/>
    <cellStyle name="20% - 강조색2 13" xfId="22" xr:uid="{00000000-0005-0000-0000-000018000000}"/>
    <cellStyle name="20% - 강조색2 14" xfId="23" xr:uid="{00000000-0005-0000-0000-000019000000}"/>
    <cellStyle name="20% - 강조색2 15" xfId="24" xr:uid="{00000000-0005-0000-0000-00001A000000}"/>
    <cellStyle name="20% - 강조색2 16" xfId="25" xr:uid="{00000000-0005-0000-0000-00001B000000}"/>
    <cellStyle name="20% - 강조색2 17" xfId="814" xr:uid="{00000000-0005-0000-0000-00001C000000}"/>
    <cellStyle name="20% - 강조색2 2" xfId="26" xr:uid="{00000000-0005-0000-0000-00001D000000}"/>
    <cellStyle name="20% - 강조색2 2 2" xfId="27" xr:uid="{00000000-0005-0000-0000-00001E000000}"/>
    <cellStyle name="20% - 강조색2 3" xfId="28" xr:uid="{00000000-0005-0000-0000-00001F000000}"/>
    <cellStyle name="20% - 강조색2 3 2" xfId="29" xr:uid="{00000000-0005-0000-0000-000020000000}"/>
    <cellStyle name="20% - 강조색2 4" xfId="30" xr:uid="{00000000-0005-0000-0000-000021000000}"/>
    <cellStyle name="20% - 강조색2 4 2" xfId="31" xr:uid="{00000000-0005-0000-0000-000022000000}"/>
    <cellStyle name="20% - 강조색2 5" xfId="32" xr:uid="{00000000-0005-0000-0000-000023000000}"/>
    <cellStyle name="20% - 강조색2 6" xfId="33" xr:uid="{00000000-0005-0000-0000-000024000000}"/>
    <cellStyle name="20% - 강조색2 7" xfId="34" xr:uid="{00000000-0005-0000-0000-000025000000}"/>
    <cellStyle name="20% - 강조색2 8" xfId="35" xr:uid="{00000000-0005-0000-0000-000026000000}"/>
    <cellStyle name="20% - 강조색2 9" xfId="36" xr:uid="{00000000-0005-0000-0000-000027000000}"/>
    <cellStyle name="20% - 강조색3" xfId="791" builtinId="38" customBuiltin="1"/>
    <cellStyle name="20% - 강조색3 10" xfId="37" xr:uid="{00000000-0005-0000-0000-000029000000}"/>
    <cellStyle name="20% - 강조색3 11" xfId="38" xr:uid="{00000000-0005-0000-0000-00002A000000}"/>
    <cellStyle name="20% - 강조색3 12" xfId="39" xr:uid="{00000000-0005-0000-0000-00002B000000}"/>
    <cellStyle name="20% - 강조색3 13" xfId="40" xr:uid="{00000000-0005-0000-0000-00002C000000}"/>
    <cellStyle name="20% - 강조색3 14" xfId="41" xr:uid="{00000000-0005-0000-0000-00002D000000}"/>
    <cellStyle name="20% - 강조색3 15" xfId="42" xr:uid="{00000000-0005-0000-0000-00002E000000}"/>
    <cellStyle name="20% - 강조색3 16" xfId="43" xr:uid="{00000000-0005-0000-0000-00002F000000}"/>
    <cellStyle name="20% - 강조색3 17" xfId="817" xr:uid="{00000000-0005-0000-0000-000030000000}"/>
    <cellStyle name="20% - 강조색3 2" xfId="44" xr:uid="{00000000-0005-0000-0000-000031000000}"/>
    <cellStyle name="20% - 강조색3 2 2" xfId="45" xr:uid="{00000000-0005-0000-0000-000032000000}"/>
    <cellStyle name="20% - 강조색3 3" xfId="46" xr:uid="{00000000-0005-0000-0000-000033000000}"/>
    <cellStyle name="20% - 강조색3 3 2" xfId="47" xr:uid="{00000000-0005-0000-0000-000034000000}"/>
    <cellStyle name="20% - 강조색3 4" xfId="48" xr:uid="{00000000-0005-0000-0000-000035000000}"/>
    <cellStyle name="20% - 강조색3 4 2" xfId="49" xr:uid="{00000000-0005-0000-0000-000036000000}"/>
    <cellStyle name="20% - 강조색3 5" xfId="50" xr:uid="{00000000-0005-0000-0000-000037000000}"/>
    <cellStyle name="20% - 강조색3 6" xfId="51" xr:uid="{00000000-0005-0000-0000-000038000000}"/>
    <cellStyle name="20% - 강조색3 7" xfId="52" xr:uid="{00000000-0005-0000-0000-000039000000}"/>
    <cellStyle name="20% - 강조색3 8" xfId="53" xr:uid="{00000000-0005-0000-0000-00003A000000}"/>
    <cellStyle name="20% - 강조색3 9" xfId="54" xr:uid="{00000000-0005-0000-0000-00003B000000}"/>
    <cellStyle name="20% - 강조색4" xfId="795" builtinId="42" customBuiltin="1"/>
    <cellStyle name="20% - 강조색4 10" xfId="55" xr:uid="{00000000-0005-0000-0000-00003D000000}"/>
    <cellStyle name="20% - 강조색4 11" xfId="56" xr:uid="{00000000-0005-0000-0000-00003E000000}"/>
    <cellStyle name="20% - 강조색4 12" xfId="57" xr:uid="{00000000-0005-0000-0000-00003F000000}"/>
    <cellStyle name="20% - 강조색4 13" xfId="58" xr:uid="{00000000-0005-0000-0000-000040000000}"/>
    <cellStyle name="20% - 강조색4 14" xfId="59" xr:uid="{00000000-0005-0000-0000-000041000000}"/>
    <cellStyle name="20% - 강조색4 15" xfId="60" xr:uid="{00000000-0005-0000-0000-000042000000}"/>
    <cellStyle name="20% - 강조색4 16" xfId="61" xr:uid="{00000000-0005-0000-0000-000043000000}"/>
    <cellStyle name="20% - 강조색4 17" xfId="820" xr:uid="{00000000-0005-0000-0000-000044000000}"/>
    <cellStyle name="20% - 강조색4 2" xfId="62" xr:uid="{00000000-0005-0000-0000-000045000000}"/>
    <cellStyle name="20% - 강조색4 2 2" xfId="63" xr:uid="{00000000-0005-0000-0000-000046000000}"/>
    <cellStyle name="20% - 강조색4 3" xfId="64" xr:uid="{00000000-0005-0000-0000-000047000000}"/>
    <cellStyle name="20% - 강조색4 3 2" xfId="65" xr:uid="{00000000-0005-0000-0000-000048000000}"/>
    <cellStyle name="20% - 강조색4 4" xfId="66" xr:uid="{00000000-0005-0000-0000-000049000000}"/>
    <cellStyle name="20% - 강조색4 4 2" xfId="67" xr:uid="{00000000-0005-0000-0000-00004A000000}"/>
    <cellStyle name="20% - 강조색4 5" xfId="68" xr:uid="{00000000-0005-0000-0000-00004B000000}"/>
    <cellStyle name="20% - 강조색4 6" xfId="69" xr:uid="{00000000-0005-0000-0000-00004C000000}"/>
    <cellStyle name="20% - 강조색4 7" xfId="70" xr:uid="{00000000-0005-0000-0000-00004D000000}"/>
    <cellStyle name="20% - 강조색4 8" xfId="71" xr:uid="{00000000-0005-0000-0000-00004E000000}"/>
    <cellStyle name="20% - 강조색4 9" xfId="72" xr:uid="{00000000-0005-0000-0000-00004F000000}"/>
    <cellStyle name="20% - 강조색5" xfId="799" builtinId="46" customBuiltin="1"/>
    <cellStyle name="20% - 강조색5 10" xfId="73" xr:uid="{00000000-0005-0000-0000-000051000000}"/>
    <cellStyle name="20% - 강조색5 11" xfId="74" xr:uid="{00000000-0005-0000-0000-000052000000}"/>
    <cellStyle name="20% - 강조색5 12" xfId="75" xr:uid="{00000000-0005-0000-0000-000053000000}"/>
    <cellStyle name="20% - 강조색5 13" xfId="76" xr:uid="{00000000-0005-0000-0000-000054000000}"/>
    <cellStyle name="20% - 강조색5 14" xfId="77" xr:uid="{00000000-0005-0000-0000-000055000000}"/>
    <cellStyle name="20% - 강조색5 15" xfId="78" xr:uid="{00000000-0005-0000-0000-000056000000}"/>
    <cellStyle name="20% - 강조색5 16" xfId="79" xr:uid="{00000000-0005-0000-0000-000057000000}"/>
    <cellStyle name="20% - 강조색5 17" xfId="823" xr:uid="{00000000-0005-0000-0000-000058000000}"/>
    <cellStyle name="20% - 강조색5 2" xfId="80" xr:uid="{00000000-0005-0000-0000-000059000000}"/>
    <cellStyle name="20% - 강조색5 2 2" xfId="81" xr:uid="{00000000-0005-0000-0000-00005A000000}"/>
    <cellStyle name="20% - 강조색5 3" xfId="82" xr:uid="{00000000-0005-0000-0000-00005B000000}"/>
    <cellStyle name="20% - 강조색5 3 2" xfId="83" xr:uid="{00000000-0005-0000-0000-00005C000000}"/>
    <cellStyle name="20% - 강조색5 4" xfId="84" xr:uid="{00000000-0005-0000-0000-00005D000000}"/>
    <cellStyle name="20% - 강조색5 4 2" xfId="85" xr:uid="{00000000-0005-0000-0000-00005E000000}"/>
    <cellStyle name="20% - 강조색5 5" xfId="86" xr:uid="{00000000-0005-0000-0000-00005F000000}"/>
    <cellStyle name="20% - 강조색5 6" xfId="87" xr:uid="{00000000-0005-0000-0000-000060000000}"/>
    <cellStyle name="20% - 강조색5 7" xfId="88" xr:uid="{00000000-0005-0000-0000-000061000000}"/>
    <cellStyle name="20% - 강조색5 8" xfId="89" xr:uid="{00000000-0005-0000-0000-000062000000}"/>
    <cellStyle name="20% - 강조색5 9" xfId="90" xr:uid="{00000000-0005-0000-0000-000063000000}"/>
    <cellStyle name="20% - 강조색6" xfId="803" builtinId="50" customBuiltin="1"/>
    <cellStyle name="20% - 강조색6 10" xfId="91" xr:uid="{00000000-0005-0000-0000-000065000000}"/>
    <cellStyle name="20% - 강조색6 11" xfId="92" xr:uid="{00000000-0005-0000-0000-000066000000}"/>
    <cellStyle name="20% - 강조색6 12" xfId="93" xr:uid="{00000000-0005-0000-0000-000067000000}"/>
    <cellStyle name="20% - 강조색6 13" xfId="94" xr:uid="{00000000-0005-0000-0000-000068000000}"/>
    <cellStyle name="20% - 강조색6 14" xfId="95" xr:uid="{00000000-0005-0000-0000-000069000000}"/>
    <cellStyle name="20% - 강조색6 15" xfId="96" xr:uid="{00000000-0005-0000-0000-00006A000000}"/>
    <cellStyle name="20% - 강조색6 16" xfId="97" xr:uid="{00000000-0005-0000-0000-00006B000000}"/>
    <cellStyle name="20% - 강조색6 17" xfId="826" xr:uid="{00000000-0005-0000-0000-00006C000000}"/>
    <cellStyle name="20% - 강조색6 2" xfId="98" xr:uid="{00000000-0005-0000-0000-00006D000000}"/>
    <cellStyle name="20% - 강조색6 2 2" xfId="99" xr:uid="{00000000-0005-0000-0000-00006E000000}"/>
    <cellStyle name="20% - 강조색6 3" xfId="100" xr:uid="{00000000-0005-0000-0000-00006F000000}"/>
    <cellStyle name="20% - 강조색6 3 2" xfId="101" xr:uid="{00000000-0005-0000-0000-000070000000}"/>
    <cellStyle name="20% - 강조색6 4" xfId="102" xr:uid="{00000000-0005-0000-0000-000071000000}"/>
    <cellStyle name="20% - 강조색6 4 2" xfId="103" xr:uid="{00000000-0005-0000-0000-000072000000}"/>
    <cellStyle name="20% - 강조색6 5" xfId="104" xr:uid="{00000000-0005-0000-0000-000073000000}"/>
    <cellStyle name="20% - 강조색6 6" xfId="105" xr:uid="{00000000-0005-0000-0000-000074000000}"/>
    <cellStyle name="20% - 강조색6 7" xfId="106" xr:uid="{00000000-0005-0000-0000-000075000000}"/>
    <cellStyle name="20% - 강조색6 8" xfId="107" xr:uid="{00000000-0005-0000-0000-000076000000}"/>
    <cellStyle name="20% - 강조색6 9" xfId="108" xr:uid="{00000000-0005-0000-0000-000077000000}"/>
    <cellStyle name="40% - 강조색1" xfId="784" builtinId="31" customBuiltin="1"/>
    <cellStyle name="40% - 강조색1 10" xfId="109" xr:uid="{00000000-0005-0000-0000-000079000000}"/>
    <cellStyle name="40% - 강조색1 11" xfId="110" xr:uid="{00000000-0005-0000-0000-00007A000000}"/>
    <cellStyle name="40% - 강조색1 12" xfId="111" xr:uid="{00000000-0005-0000-0000-00007B000000}"/>
    <cellStyle name="40% - 강조색1 13" xfId="112" xr:uid="{00000000-0005-0000-0000-00007C000000}"/>
    <cellStyle name="40% - 강조색1 14" xfId="113" xr:uid="{00000000-0005-0000-0000-00007D000000}"/>
    <cellStyle name="40% - 강조색1 15" xfId="114" xr:uid="{00000000-0005-0000-0000-00007E000000}"/>
    <cellStyle name="40% - 강조색1 16" xfId="115" xr:uid="{00000000-0005-0000-0000-00007F000000}"/>
    <cellStyle name="40% - 강조색1 17" xfId="812" xr:uid="{00000000-0005-0000-0000-000080000000}"/>
    <cellStyle name="40% - 강조색1 2" xfId="116" xr:uid="{00000000-0005-0000-0000-000081000000}"/>
    <cellStyle name="40% - 강조색1 2 2" xfId="117" xr:uid="{00000000-0005-0000-0000-000082000000}"/>
    <cellStyle name="40% - 강조색1 3" xfId="118" xr:uid="{00000000-0005-0000-0000-000083000000}"/>
    <cellStyle name="40% - 강조색1 3 2" xfId="119" xr:uid="{00000000-0005-0000-0000-000084000000}"/>
    <cellStyle name="40% - 강조색1 4" xfId="120" xr:uid="{00000000-0005-0000-0000-000085000000}"/>
    <cellStyle name="40% - 강조색1 4 2" xfId="121" xr:uid="{00000000-0005-0000-0000-000086000000}"/>
    <cellStyle name="40% - 강조색1 5" xfId="122" xr:uid="{00000000-0005-0000-0000-000087000000}"/>
    <cellStyle name="40% - 강조색1 6" xfId="123" xr:uid="{00000000-0005-0000-0000-000088000000}"/>
    <cellStyle name="40% - 강조색1 7" xfId="124" xr:uid="{00000000-0005-0000-0000-000089000000}"/>
    <cellStyle name="40% - 강조색1 8" xfId="125" xr:uid="{00000000-0005-0000-0000-00008A000000}"/>
    <cellStyle name="40% - 강조색1 9" xfId="126" xr:uid="{00000000-0005-0000-0000-00008B000000}"/>
    <cellStyle name="40% - 강조색2" xfId="788" builtinId="35" customBuiltin="1"/>
    <cellStyle name="40% - 강조색2 10" xfId="127" xr:uid="{00000000-0005-0000-0000-00008D000000}"/>
    <cellStyle name="40% - 강조색2 11" xfId="128" xr:uid="{00000000-0005-0000-0000-00008E000000}"/>
    <cellStyle name="40% - 강조색2 12" xfId="129" xr:uid="{00000000-0005-0000-0000-00008F000000}"/>
    <cellStyle name="40% - 강조색2 13" xfId="130" xr:uid="{00000000-0005-0000-0000-000090000000}"/>
    <cellStyle name="40% - 강조색2 14" xfId="131" xr:uid="{00000000-0005-0000-0000-000091000000}"/>
    <cellStyle name="40% - 강조색2 15" xfId="132" xr:uid="{00000000-0005-0000-0000-000092000000}"/>
    <cellStyle name="40% - 강조색2 16" xfId="133" xr:uid="{00000000-0005-0000-0000-000093000000}"/>
    <cellStyle name="40% - 강조색2 17" xfId="815" xr:uid="{00000000-0005-0000-0000-000094000000}"/>
    <cellStyle name="40% - 강조색2 2" xfId="134" xr:uid="{00000000-0005-0000-0000-000095000000}"/>
    <cellStyle name="40% - 강조색2 2 2" xfId="135" xr:uid="{00000000-0005-0000-0000-000096000000}"/>
    <cellStyle name="40% - 강조색2 3" xfId="136" xr:uid="{00000000-0005-0000-0000-000097000000}"/>
    <cellStyle name="40% - 강조색2 3 2" xfId="137" xr:uid="{00000000-0005-0000-0000-000098000000}"/>
    <cellStyle name="40% - 강조색2 4" xfId="138" xr:uid="{00000000-0005-0000-0000-000099000000}"/>
    <cellStyle name="40% - 강조색2 4 2" xfId="139" xr:uid="{00000000-0005-0000-0000-00009A000000}"/>
    <cellStyle name="40% - 강조색2 5" xfId="140" xr:uid="{00000000-0005-0000-0000-00009B000000}"/>
    <cellStyle name="40% - 강조색2 6" xfId="141" xr:uid="{00000000-0005-0000-0000-00009C000000}"/>
    <cellStyle name="40% - 강조색2 7" xfId="142" xr:uid="{00000000-0005-0000-0000-00009D000000}"/>
    <cellStyle name="40% - 강조색2 8" xfId="143" xr:uid="{00000000-0005-0000-0000-00009E000000}"/>
    <cellStyle name="40% - 강조색2 9" xfId="144" xr:uid="{00000000-0005-0000-0000-00009F000000}"/>
    <cellStyle name="40% - 강조색3" xfId="792" builtinId="39" customBuiltin="1"/>
    <cellStyle name="40% - 강조색3 10" xfId="145" xr:uid="{00000000-0005-0000-0000-0000A1000000}"/>
    <cellStyle name="40% - 강조색3 11" xfId="146" xr:uid="{00000000-0005-0000-0000-0000A2000000}"/>
    <cellStyle name="40% - 강조색3 12" xfId="147" xr:uid="{00000000-0005-0000-0000-0000A3000000}"/>
    <cellStyle name="40% - 강조색3 13" xfId="148" xr:uid="{00000000-0005-0000-0000-0000A4000000}"/>
    <cellStyle name="40% - 강조색3 14" xfId="149" xr:uid="{00000000-0005-0000-0000-0000A5000000}"/>
    <cellStyle name="40% - 강조색3 15" xfId="150" xr:uid="{00000000-0005-0000-0000-0000A6000000}"/>
    <cellStyle name="40% - 강조색3 16" xfId="151" xr:uid="{00000000-0005-0000-0000-0000A7000000}"/>
    <cellStyle name="40% - 강조색3 17" xfId="818" xr:uid="{00000000-0005-0000-0000-0000A8000000}"/>
    <cellStyle name="40% - 강조색3 2" xfId="152" xr:uid="{00000000-0005-0000-0000-0000A9000000}"/>
    <cellStyle name="40% - 강조색3 2 2" xfId="153" xr:uid="{00000000-0005-0000-0000-0000AA000000}"/>
    <cellStyle name="40% - 강조색3 3" xfId="154" xr:uid="{00000000-0005-0000-0000-0000AB000000}"/>
    <cellStyle name="40% - 강조색3 3 2" xfId="155" xr:uid="{00000000-0005-0000-0000-0000AC000000}"/>
    <cellStyle name="40% - 강조색3 4" xfId="156" xr:uid="{00000000-0005-0000-0000-0000AD000000}"/>
    <cellStyle name="40% - 강조색3 4 2" xfId="157" xr:uid="{00000000-0005-0000-0000-0000AE000000}"/>
    <cellStyle name="40% - 강조색3 5" xfId="158" xr:uid="{00000000-0005-0000-0000-0000AF000000}"/>
    <cellStyle name="40% - 강조색3 6" xfId="159" xr:uid="{00000000-0005-0000-0000-0000B0000000}"/>
    <cellStyle name="40% - 강조색3 7" xfId="160" xr:uid="{00000000-0005-0000-0000-0000B1000000}"/>
    <cellStyle name="40% - 강조색3 8" xfId="161" xr:uid="{00000000-0005-0000-0000-0000B2000000}"/>
    <cellStyle name="40% - 강조색3 9" xfId="162" xr:uid="{00000000-0005-0000-0000-0000B3000000}"/>
    <cellStyle name="40% - 강조색4" xfId="796" builtinId="43" customBuiltin="1"/>
    <cellStyle name="40% - 강조색4 10" xfId="163" xr:uid="{00000000-0005-0000-0000-0000B5000000}"/>
    <cellStyle name="40% - 강조색4 11" xfId="164" xr:uid="{00000000-0005-0000-0000-0000B6000000}"/>
    <cellStyle name="40% - 강조색4 12" xfId="165" xr:uid="{00000000-0005-0000-0000-0000B7000000}"/>
    <cellStyle name="40% - 강조색4 13" xfId="166" xr:uid="{00000000-0005-0000-0000-0000B8000000}"/>
    <cellStyle name="40% - 강조색4 14" xfId="167" xr:uid="{00000000-0005-0000-0000-0000B9000000}"/>
    <cellStyle name="40% - 강조색4 15" xfId="168" xr:uid="{00000000-0005-0000-0000-0000BA000000}"/>
    <cellStyle name="40% - 강조색4 16" xfId="169" xr:uid="{00000000-0005-0000-0000-0000BB000000}"/>
    <cellStyle name="40% - 강조색4 17" xfId="821" xr:uid="{00000000-0005-0000-0000-0000BC000000}"/>
    <cellStyle name="40% - 강조색4 2" xfId="170" xr:uid="{00000000-0005-0000-0000-0000BD000000}"/>
    <cellStyle name="40% - 강조색4 2 2" xfId="171" xr:uid="{00000000-0005-0000-0000-0000BE000000}"/>
    <cellStyle name="40% - 강조색4 3" xfId="172" xr:uid="{00000000-0005-0000-0000-0000BF000000}"/>
    <cellStyle name="40% - 강조색4 3 2" xfId="173" xr:uid="{00000000-0005-0000-0000-0000C0000000}"/>
    <cellStyle name="40% - 강조색4 4" xfId="174" xr:uid="{00000000-0005-0000-0000-0000C1000000}"/>
    <cellStyle name="40% - 강조색4 4 2" xfId="175" xr:uid="{00000000-0005-0000-0000-0000C2000000}"/>
    <cellStyle name="40% - 강조색4 5" xfId="176" xr:uid="{00000000-0005-0000-0000-0000C3000000}"/>
    <cellStyle name="40% - 강조색4 6" xfId="177" xr:uid="{00000000-0005-0000-0000-0000C4000000}"/>
    <cellStyle name="40% - 강조색4 7" xfId="178" xr:uid="{00000000-0005-0000-0000-0000C5000000}"/>
    <cellStyle name="40% - 강조색4 8" xfId="179" xr:uid="{00000000-0005-0000-0000-0000C6000000}"/>
    <cellStyle name="40% - 강조색4 9" xfId="180" xr:uid="{00000000-0005-0000-0000-0000C7000000}"/>
    <cellStyle name="40% - 강조색5" xfId="800" builtinId="47" customBuiltin="1"/>
    <cellStyle name="40% - 강조색5 10" xfId="181" xr:uid="{00000000-0005-0000-0000-0000C9000000}"/>
    <cellStyle name="40% - 강조색5 11" xfId="182" xr:uid="{00000000-0005-0000-0000-0000CA000000}"/>
    <cellStyle name="40% - 강조색5 12" xfId="183" xr:uid="{00000000-0005-0000-0000-0000CB000000}"/>
    <cellStyle name="40% - 강조색5 13" xfId="184" xr:uid="{00000000-0005-0000-0000-0000CC000000}"/>
    <cellStyle name="40% - 강조색5 14" xfId="185" xr:uid="{00000000-0005-0000-0000-0000CD000000}"/>
    <cellStyle name="40% - 강조색5 15" xfId="186" xr:uid="{00000000-0005-0000-0000-0000CE000000}"/>
    <cellStyle name="40% - 강조색5 16" xfId="187" xr:uid="{00000000-0005-0000-0000-0000CF000000}"/>
    <cellStyle name="40% - 강조색5 17" xfId="824" xr:uid="{00000000-0005-0000-0000-0000D0000000}"/>
    <cellStyle name="40% - 강조색5 2" xfId="188" xr:uid="{00000000-0005-0000-0000-0000D1000000}"/>
    <cellStyle name="40% - 강조색5 2 2" xfId="189" xr:uid="{00000000-0005-0000-0000-0000D2000000}"/>
    <cellStyle name="40% - 강조색5 3" xfId="190" xr:uid="{00000000-0005-0000-0000-0000D3000000}"/>
    <cellStyle name="40% - 강조색5 3 2" xfId="191" xr:uid="{00000000-0005-0000-0000-0000D4000000}"/>
    <cellStyle name="40% - 강조색5 4" xfId="192" xr:uid="{00000000-0005-0000-0000-0000D5000000}"/>
    <cellStyle name="40% - 강조색5 4 2" xfId="193" xr:uid="{00000000-0005-0000-0000-0000D6000000}"/>
    <cellStyle name="40% - 강조색5 5" xfId="194" xr:uid="{00000000-0005-0000-0000-0000D7000000}"/>
    <cellStyle name="40% - 강조색5 6" xfId="195" xr:uid="{00000000-0005-0000-0000-0000D8000000}"/>
    <cellStyle name="40% - 강조색5 7" xfId="196" xr:uid="{00000000-0005-0000-0000-0000D9000000}"/>
    <cellStyle name="40% - 강조색5 8" xfId="197" xr:uid="{00000000-0005-0000-0000-0000DA000000}"/>
    <cellStyle name="40% - 강조색5 9" xfId="198" xr:uid="{00000000-0005-0000-0000-0000DB000000}"/>
    <cellStyle name="40% - 강조색6" xfId="804" builtinId="51" customBuiltin="1"/>
    <cellStyle name="40% - 강조색6 10" xfId="199" xr:uid="{00000000-0005-0000-0000-0000DD000000}"/>
    <cellStyle name="40% - 강조색6 11" xfId="200" xr:uid="{00000000-0005-0000-0000-0000DE000000}"/>
    <cellStyle name="40% - 강조색6 12" xfId="201" xr:uid="{00000000-0005-0000-0000-0000DF000000}"/>
    <cellStyle name="40% - 강조색6 13" xfId="202" xr:uid="{00000000-0005-0000-0000-0000E0000000}"/>
    <cellStyle name="40% - 강조색6 14" xfId="203" xr:uid="{00000000-0005-0000-0000-0000E1000000}"/>
    <cellStyle name="40% - 강조색6 15" xfId="204" xr:uid="{00000000-0005-0000-0000-0000E2000000}"/>
    <cellStyle name="40% - 강조색6 16" xfId="205" xr:uid="{00000000-0005-0000-0000-0000E3000000}"/>
    <cellStyle name="40% - 강조색6 17" xfId="827" xr:uid="{00000000-0005-0000-0000-0000E4000000}"/>
    <cellStyle name="40% - 강조색6 2" xfId="206" xr:uid="{00000000-0005-0000-0000-0000E5000000}"/>
    <cellStyle name="40% - 강조색6 2 2" xfId="207" xr:uid="{00000000-0005-0000-0000-0000E6000000}"/>
    <cellStyle name="40% - 강조색6 3" xfId="208" xr:uid="{00000000-0005-0000-0000-0000E7000000}"/>
    <cellStyle name="40% - 강조색6 3 2" xfId="209" xr:uid="{00000000-0005-0000-0000-0000E8000000}"/>
    <cellStyle name="40% - 강조색6 4" xfId="210" xr:uid="{00000000-0005-0000-0000-0000E9000000}"/>
    <cellStyle name="40% - 강조색6 4 2" xfId="211" xr:uid="{00000000-0005-0000-0000-0000EA000000}"/>
    <cellStyle name="40% - 강조색6 5" xfId="212" xr:uid="{00000000-0005-0000-0000-0000EB000000}"/>
    <cellStyle name="40% - 강조색6 6" xfId="213" xr:uid="{00000000-0005-0000-0000-0000EC000000}"/>
    <cellStyle name="40% - 강조색6 7" xfId="214" xr:uid="{00000000-0005-0000-0000-0000ED000000}"/>
    <cellStyle name="40% - 강조색6 8" xfId="215" xr:uid="{00000000-0005-0000-0000-0000EE000000}"/>
    <cellStyle name="40% - 강조색6 9" xfId="216" xr:uid="{00000000-0005-0000-0000-0000EF000000}"/>
    <cellStyle name="60% - 강조색1" xfId="785" builtinId="32" customBuiltin="1"/>
    <cellStyle name="60% - 강조색1 10" xfId="217" xr:uid="{00000000-0005-0000-0000-0000F1000000}"/>
    <cellStyle name="60% - 강조색1 11" xfId="218" xr:uid="{00000000-0005-0000-0000-0000F2000000}"/>
    <cellStyle name="60% - 강조색1 12" xfId="219" xr:uid="{00000000-0005-0000-0000-0000F3000000}"/>
    <cellStyle name="60% - 강조색1 13" xfId="220" xr:uid="{00000000-0005-0000-0000-0000F4000000}"/>
    <cellStyle name="60% - 강조색1 14" xfId="221" xr:uid="{00000000-0005-0000-0000-0000F5000000}"/>
    <cellStyle name="60% - 강조색1 15" xfId="222" xr:uid="{00000000-0005-0000-0000-0000F6000000}"/>
    <cellStyle name="60% - 강조색1 16" xfId="223" xr:uid="{00000000-0005-0000-0000-0000F7000000}"/>
    <cellStyle name="60% - 강조색1 17" xfId="813" xr:uid="{00000000-0005-0000-0000-0000F8000000}"/>
    <cellStyle name="60% - 강조색1 2" xfId="224" xr:uid="{00000000-0005-0000-0000-0000F9000000}"/>
    <cellStyle name="60% - 강조색1 2 2" xfId="225" xr:uid="{00000000-0005-0000-0000-0000FA000000}"/>
    <cellStyle name="60% - 강조색1 3" xfId="226" xr:uid="{00000000-0005-0000-0000-0000FB000000}"/>
    <cellStyle name="60% - 강조색1 3 2" xfId="227" xr:uid="{00000000-0005-0000-0000-0000FC000000}"/>
    <cellStyle name="60% - 강조색1 4" xfId="228" xr:uid="{00000000-0005-0000-0000-0000FD000000}"/>
    <cellStyle name="60% - 강조색1 4 2" xfId="229" xr:uid="{00000000-0005-0000-0000-0000FE000000}"/>
    <cellStyle name="60% - 강조색1 5" xfId="230" xr:uid="{00000000-0005-0000-0000-0000FF000000}"/>
    <cellStyle name="60% - 강조색1 6" xfId="231" xr:uid="{00000000-0005-0000-0000-000000010000}"/>
    <cellStyle name="60% - 강조색1 7" xfId="232" xr:uid="{00000000-0005-0000-0000-000001010000}"/>
    <cellStyle name="60% - 강조색1 8" xfId="233" xr:uid="{00000000-0005-0000-0000-000002010000}"/>
    <cellStyle name="60% - 강조색1 9" xfId="234" xr:uid="{00000000-0005-0000-0000-000003010000}"/>
    <cellStyle name="60% - 강조색2" xfId="789" builtinId="36" customBuiltin="1"/>
    <cellStyle name="60% - 강조색2 10" xfId="235" xr:uid="{00000000-0005-0000-0000-000005010000}"/>
    <cellStyle name="60% - 강조색2 11" xfId="236" xr:uid="{00000000-0005-0000-0000-000006010000}"/>
    <cellStyle name="60% - 강조색2 12" xfId="237" xr:uid="{00000000-0005-0000-0000-000007010000}"/>
    <cellStyle name="60% - 강조색2 13" xfId="238" xr:uid="{00000000-0005-0000-0000-000008010000}"/>
    <cellStyle name="60% - 강조색2 14" xfId="239" xr:uid="{00000000-0005-0000-0000-000009010000}"/>
    <cellStyle name="60% - 강조색2 15" xfId="240" xr:uid="{00000000-0005-0000-0000-00000A010000}"/>
    <cellStyle name="60% - 강조색2 16" xfId="241" xr:uid="{00000000-0005-0000-0000-00000B010000}"/>
    <cellStyle name="60% - 강조색2 17" xfId="816" xr:uid="{00000000-0005-0000-0000-00000C010000}"/>
    <cellStyle name="60% - 강조색2 2" xfId="242" xr:uid="{00000000-0005-0000-0000-00000D010000}"/>
    <cellStyle name="60% - 강조색2 2 2" xfId="243" xr:uid="{00000000-0005-0000-0000-00000E010000}"/>
    <cellStyle name="60% - 강조색2 3" xfId="244" xr:uid="{00000000-0005-0000-0000-00000F010000}"/>
    <cellStyle name="60% - 강조색2 3 2" xfId="245" xr:uid="{00000000-0005-0000-0000-000010010000}"/>
    <cellStyle name="60% - 강조색2 4" xfId="246" xr:uid="{00000000-0005-0000-0000-000011010000}"/>
    <cellStyle name="60% - 강조색2 4 2" xfId="247" xr:uid="{00000000-0005-0000-0000-000012010000}"/>
    <cellStyle name="60% - 강조색2 5" xfId="248" xr:uid="{00000000-0005-0000-0000-000013010000}"/>
    <cellStyle name="60% - 강조색2 6" xfId="249" xr:uid="{00000000-0005-0000-0000-000014010000}"/>
    <cellStyle name="60% - 강조색2 7" xfId="250" xr:uid="{00000000-0005-0000-0000-000015010000}"/>
    <cellStyle name="60% - 강조색2 8" xfId="251" xr:uid="{00000000-0005-0000-0000-000016010000}"/>
    <cellStyle name="60% - 강조색2 9" xfId="252" xr:uid="{00000000-0005-0000-0000-000017010000}"/>
    <cellStyle name="60% - 강조색3" xfId="793" builtinId="40" customBuiltin="1"/>
    <cellStyle name="60% - 강조색3 10" xfId="253" xr:uid="{00000000-0005-0000-0000-000019010000}"/>
    <cellStyle name="60% - 강조색3 11" xfId="254" xr:uid="{00000000-0005-0000-0000-00001A010000}"/>
    <cellStyle name="60% - 강조색3 12" xfId="255" xr:uid="{00000000-0005-0000-0000-00001B010000}"/>
    <cellStyle name="60% - 강조색3 13" xfId="256" xr:uid="{00000000-0005-0000-0000-00001C010000}"/>
    <cellStyle name="60% - 강조색3 14" xfId="257" xr:uid="{00000000-0005-0000-0000-00001D010000}"/>
    <cellStyle name="60% - 강조색3 15" xfId="258" xr:uid="{00000000-0005-0000-0000-00001E010000}"/>
    <cellStyle name="60% - 강조색3 16" xfId="259" xr:uid="{00000000-0005-0000-0000-00001F010000}"/>
    <cellStyle name="60% - 강조색3 17" xfId="819" xr:uid="{00000000-0005-0000-0000-000020010000}"/>
    <cellStyle name="60% - 강조색3 2" xfId="260" xr:uid="{00000000-0005-0000-0000-000021010000}"/>
    <cellStyle name="60% - 강조색3 2 2" xfId="261" xr:uid="{00000000-0005-0000-0000-000022010000}"/>
    <cellStyle name="60% - 강조색3 3" xfId="262" xr:uid="{00000000-0005-0000-0000-000023010000}"/>
    <cellStyle name="60% - 강조색3 3 2" xfId="263" xr:uid="{00000000-0005-0000-0000-000024010000}"/>
    <cellStyle name="60% - 강조색3 4" xfId="264" xr:uid="{00000000-0005-0000-0000-000025010000}"/>
    <cellStyle name="60% - 강조색3 4 2" xfId="265" xr:uid="{00000000-0005-0000-0000-000026010000}"/>
    <cellStyle name="60% - 강조색3 5" xfId="266" xr:uid="{00000000-0005-0000-0000-000027010000}"/>
    <cellStyle name="60% - 강조색3 6" xfId="267" xr:uid="{00000000-0005-0000-0000-000028010000}"/>
    <cellStyle name="60% - 강조색3 7" xfId="268" xr:uid="{00000000-0005-0000-0000-000029010000}"/>
    <cellStyle name="60% - 강조색3 8" xfId="269" xr:uid="{00000000-0005-0000-0000-00002A010000}"/>
    <cellStyle name="60% - 강조색3 9" xfId="270" xr:uid="{00000000-0005-0000-0000-00002B010000}"/>
    <cellStyle name="60% - 강조색4" xfId="797" builtinId="44" customBuiltin="1"/>
    <cellStyle name="60% - 강조색4 10" xfId="271" xr:uid="{00000000-0005-0000-0000-00002D010000}"/>
    <cellStyle name="60% - 강조색4 11" xfId="272" xr:uid="{00000000-0005-0000-0000-00002E010000}"/>
    <cellStyle name="60% - 강조색4 12" xfId="273" xr:uid="{00000000-0005-0000-0000-00002F010000}"/>
    <cellStyle name="60% - 강조색4 13" xfId="274" xr:uid="{00000000-0005-0000-0000-000030010000}"/>
    <cellStyle name="60% - 강조색4 14" xfId="275" xr:uid="{00000000-0005-0000-0000-000031010000}"/>
    <cellStyle name="60% - 강조색4 15" xfId="276" xr:uid="{00000000-0005-0000-0000-000032010000}"/>
    <cellStyle name="60% - 강조색4 16" xfId="277" xr:uid="{00000000-0005-0000-0000-000033010000}"/>
    <cellStyle name="60% - 강조색4 17" xfId="822" xr:uid="{00000000-0005-0000-0000-000034010000}"/>
    <cellStyle name="60% - 강조색4 2" xfId="278" xr:uid="{00000000-0005-0000-0000-000035010000}"/>
    <cellStyle name="60% - 강조색4 2 2" xfId="279" xr:uid="{00000000-0005-0000-0000-000036010000}"/>
    <cellStyle name="60% - 강조색4 3" xfId="280" xr:uid="{00000000-0005-0000-0000-000037010000}"/>
    <cellStyle name="60% - 강조색4 3 2" xfId="281" xr:uid="{00000000-0005-0000-0000-000038010000}"/>
    <cellStyle name="60% - 강조색4 4" xfId="282" xr:uid="{00000000-0005-0000-0000-000039010000}"/>
    <cellStyle name="60% - 강조색4 4 2" xfId="283" xr:uid="{00000000-0005-0000-0000-00003A010000}"/>
    <cellStyle name="60% - 강조색4 5" xfId="284" xr:uid="{00000000-0005-0000-0000-00003B010000}"/>
    <cellStyle name="60% - 강조색4 6" xfId="285" xr:uid="{00000000-0005-0000-0000-00003C010000}"/>
    <cellStyle name="60% - 강조색4 7" xfId="286" xr:uid="{00000000-0005-0000-0000-00003D010000}"/>
    <cellStyle name="60% - 강조색4 8" xfId="287" xr:uid="{00000000-0005-0000-0000-00003E010000}"/>
    <cellStyle name="60% - 강조색4 9" xfId="288" xr:uid="{00000000-0005-0000-0000-00003F010000}"/>
    <cellStyle name="60% - 강조색5" xfId="801" builtinId="48" customBuiltin="1"/>
    <cellStyle name="60% - 강조색5 10" xfId="289" xr:uid="{00000000-0005-0000-0000-000041010000}"/>
    <cellStyle name="60% - 강조색5 11" xfId="290" xr:uid="{00000000-0005-0000-0000-000042010000}"/>
    <cellStyle name="60% - 강조색5 12" xfId="291" xr:uid="{00000000-0005-0000-0000-000043010000}"/>
    <cellStyle name="60% - 강조색5 13" xfId="292" xr:uid="{00000000-0005-0000-0000-000044010000}"/>
    <cellStyle name="60% - 강조색5 14" xfId="293" xr:uid="{00000000-0005-0000-0000-000045010000}"/>
    <cellStyle name="60% - 강조색5 15" xfId="294" xr:uid="{00000000-0005-0000-0000-000046010000}"/>
    <cellStyle name="60% - 강조색5 16" xfId="295" xr:uid="{00000000-0005-0000-0000-000047010000}"/>
    <cellStyle name="60% - 강조색5 17" xfId="825" xr:uid="{00000000-0005-0000-0000-000048010000}"/>
    <cellStyle name="60% - 강조색5 2" xfId="296" xr:uid="{00000000-0005-0000-0000-000049010000}"/>
    <cellStyle name="60% - 강조색5 2 2" xfId="297" xr:uid="{00000000-0005-0000-0000-00004A010000}"/>
    <cellStyle name="60% - 강조색5 3" xfId="298" xr:uid="{00000000-0005-0000-0000-00004B010000}"/>
    <cellStyle name="60% - 강조색5 3 2" xfId="299" xr:uid="{00000000-0005-0000-0000-00004C010000}"/>
    <cellStyle name="60% - 강조색5 4" xfId="300" xr:uid="{00000000-0005-0000-0000-00004D010000}"/>
    <cellStyle name="60% - 강조색5 4 2" xfId="301" xr:uid="{00000000-0005-0000-0000-00004E010000}"/>
    <cellStyle name="60% - 강조색5 5" xfId="302" xr:uid="{00000000-0005-0000-0000-00004F010000}"/>
    <cellStyle name="60% - 강조색5 6" xfId="303" xr:uid="{00000000-0005-0000-0000-000050010000}"/>
    <cellStyle name="60% - 강조색5 7" xfId="304" xr:uid="{00000000-0005-0000-0000-000051010000}"/>
    <cellStyle name="60% - 강조색5 8" xfId="305" xr:uid="{00000000-0005-0000-0000-000052010000}"/>
    <cellStyle name="60% - 강조색5 9" xfId="306" xr:uid="{00000000-0005-0000-0000-000053010000}"/>
    <cellStyle name="60% - 강조색6" xfId="805" builtinId="52" customBuiltin="1"/>
    <cellStyle name="60% - 강조색6 10" xfId="307" xr:uid="{00000000-0005-0000-0000-000055010000}"/>
    <cellStyle name="60% - 강조색6 11" xfId="308" xr:uid="{00000000-0005-0000-0000-000056010000}"/>
    <cellStyle name="60% - 강조색6 12" xfId="309" xr:uid="{00000000-0005-0000-0000-000057010000}"/>
    <cellStyle name="60% - 강조색6 13" xfId="310" xr:uid="{00000000-0005-0000-0000-000058010000}"/>
    <cellStyle name="60% - 강조색6 14" xfId="311" xr:uid="{00000000-0005-0000-0000-000059010000}"/>
    <cellStyle name="60% - 강조색6 15" xfId="312" xr:uid="{00000000-0005-0000-0000-00005A010000}"/>
    <cellStyle name="60% - 강조색6 16" xfId="313" xr:uid="{00000000-0005-0000-0000-00005B010000}"/>
    <cellStyle name="60% - 강조색6 17" xfId="828" xr:uid="{00000000-0005-0000-0000-00005C010000}"/>
    <cellStyle name="60% - 강조색6 2" xfId="314" xr:uid="{00000000-0005-0000-0000-00005D010000}"/>
    <cellStyle name="60% - 강조색6 2 2" xfId="315" xr:uid="{00000000-0005-0000-0000-00005E010000}"/>
    <cellStyle name="60% - 강조색6 3" xfId="316" xr:uid="{00000000-0005-0000-0000-00005F010000}"/>
    <cellStyle name="60% - 강조색6 3 2" xfId="317" xr:uid="{00000000-0005-0000-0000-000060010000}"/>
    <cellStyle name="60% - 강조색6 4" xfId="318" xr:uid="{00000000-0005-0000-0000-000061010000}"/>
    <cellStyle name="60% - 강조색6 4 2" xfId="319" xr:uid="{00000000-0005-0000-0000-000062010000}"/>
    <cellStyle name="60% - 강조색6 5" xfId="320" xr:uid="{00000000-0005-0000-0000-000063010000}"/>
    <cellStyle name="60% - 강조색6 6" xfId="321" xr:uid="{00000000-0005-0000-0000-000064010000}"/>
    <cellStyle name="60% - 강조색6 7" xfId="322" xr:uid="{00000000-0005-0000-0000-000065010000}"/>
    <cellStyle name="60% - 강조색6 8" xfId="323" xr:uid="{00000000-0005-0000-0000-000066010000}"/>
    <cellStyle name="60% - 강조색6 9" xfId="324" xr:uid="{00000000-0005-0000-0000-000067010000}"/>
    <cellStyle name="Euro" xfId="325" xr:uid="{00000000-0005-0000-0000-00006C010000}"/>
    <cellStyle name="강조색1" xfId="782" builtinId="29" customBuiltin="1"/>
    <cellStyle name="강조색1 10" xfId="326" xr:uid="{00000000-0005-0000-0000-00006F010000}"/>
    <cellStyle name="강조색1 11" xfId="327" xr:uid="{00000000-0005-0000-0000-000070010000}"/>
    <cellStyle name="강조색1 12" xfId="328" xr:uid="{00000000-0005-0000-0000-000071010000}"/>
    <cellStyle name="강조색1 13" xfId="329" xr:uid="{00000000-0005-0000-0000-000072010000}"/>
    <cellStyle name="강조색1 14" xfId="330" xr:uid="{00000000-0005-0000-0000-000073010000}"/>
    <cellStyle name="강조색1 15" xfId="331" xr:uid="{00000000-0005-0000-0000-000074010000}"/>
    <cellStyle name="강조색1 16" xfId="332" xr:uid="{00000000-0005-0000-0000-000075010000}"/>
    <cellStyle name="강조색1 2" xfId="333" xr:uid="{00000000-0005-0000-0000-000076010000}"/>
    <cellStyle name="강조색1 2 2" xfId="334" xr:uid="{00000000-0005-0000-0000-000077010000}"/>
    <cellStyle name="강조색1 3" xfId="335" xr:uid="{00000000-0005-0000-0000-000078010000}"/>
    <cellStyle name="강조색1 3 2" xfId="336" xr:uid="{00000000-0005-0000-0000-000079010000}"/>
    <cellStyle name="강조색1 4" xfId="337" xr:uid="{00000000-0005-0000-0000-00007A010000}"/>
    <cellStyle name="강조색1 4 2" xfId="338" xr:uid="{00000000-0005-0000-0000-00007B010000}"/>
    <cellStyle name="강조색1 5" xfId="339" xr:uid="{00000000-0005-0000-0000-00007C010000}"/>
    <cellStyle name="강조색1 6" xfId="340" xr:uid="{00000000-0005-0000-0000-00007D010000}"/>
    <cellStyle name="강조색1 7" xfId="341" xr:uid="{00000000-0005-0000-0000-00007E010000}"/>
    <cellStyle name="강조색1 8" xfId="342" xr:uid="{00000000-0005-0000-0000-00007F010000}"/>
    <cellStyle name="강조색1 9" xfId="343" xr:uid="{00000000-0005-0000-0000-000080010000}"/>
    <cellStyle name="강조색2" xfId="786" builtinId="33" customBuiltin="1"/>
    <cellStyle name="강조색2 10" xfId="344" xr:uid="{00000000-0005-0000-0000-000082010000}"/>
    <cellStyle name="강조색2 11" xfId="345" xr:uid="{00000000-0005-0000-0000-000083010000}"/>
    <cellStyle name="강조색2 12" xfId="346" xr:uid="{00000000-0005-0000-0000-000084010000}"/>
    <cellStyle name="강조색2 13" xfId="347" xr:uid="{00000000-0005-0000-0000-000085010000}"/>
    <cellStyle name="강조색2 14" xfId="348" xr:uid="{00000000-0005-0000-0000-000086010000}"/>
    <cellStyle name="강조색2 15" xfId="349" xr:uid="{00000000-0005-0000-0000-000087010000}"/>
    <cellStyle name="강조색2 16" xfId="350" xr:uid="{00000000-0005-0000-0000-000088010000}"/>
    <cellStyle name="강조색2 2" xfId="351" xr:uid="{00000000-0005-0000-0000-000089010000}"/>
    <cellStyle name="강조색2 2 2" xfId="352" xr:uid="{00000000-0005-0000-0000-00008A010000}"/>
    <cellStyle name="강조색2 3" xfId="353" xr:uid="{00000000-0005-0000-0000-00008B010000}"/>
    <cellStyle name="강조색2 3 2" xfId="354" xr:uid="{00000000-0005-0000-0000-00008C010000}"/>
    <cellStyle name="강조색2 4" xfId="355" xr:uid="{00000000-0005-0000-0000-00008D010000}"/>
    <cellStyle name="강조색2 4 2" xfId="356" xr:uid="{00000000-0005-0000-0000-00008E010000}"/>
    <cellStyle name="강조색2 5" xfId="357" xr:uid="{00000000-0005-0000-0000-00008F010000}"/>
    <cellStyle name="강조색2 6" xfId="358" xr:uid="{00000000-0005-0000-0000-000090010000}"/>
    <cellStyle name="강조색2 7" xfId="359" xr:uid="{00000000-0005-0000-0000-000091010000}"/>
    <cellStyle name="강조색2 8" xfId="360" xr:uid="{00000000-0005-0000-0000-000092010000}"/>
    <cellStyle name="강조색2 9" xfId="361" xr:uid="{00000000-0005-0000-0000-000093010000}"/>
    <cellStyle name="강조색3" xfId="790" builtinId="37" customBuiltin="1"/>
    <cellStyle name="강조색3 10" xfId="362" xr:uid="{00000000-0005-0000-0000-000095010000}"/>
    <cellStyle name="강조색3 11" xfId="363" xr:uid="{00000000-0005-0000-0000-000096010000}"/>
    <cellStyle name="강조색3 12" xfId="364" xr:uid="{00000000-0005-0000-0000-000097010000}"/>
    <cellStyle name="강조색3 13" xfId="365" xr:uid="{00000000-0005-0000-0000-000098010000}"/>
    <cellStyle name="강조색3 14" xfId="366" xr:uid="{00000000-0005-0000-0000-000099010000}"/>
    <cellStyle name="강조색3 15" xfId="367" xr:uid="{00000000-0005-0000-0000-00009A010000}"/>
    <cellStyle name="강조색3 16" xfId="368" xr:uid="{00000000-0005-0000-0000-00009B010000}"/>
    <cellStyle name="강조색3 2" xfId="369" xr:uid="{00000000-0005-0000-0000-00009C010000}"/>
    <cellStyle name="강조색3 2 2" xfId="370" xr:uid="{00000000-0005-0000-0000-00009D010000}"/>
    <cellStyle name="강조색3 3" xfId="371" xr:uid="{00000000-0005-0000-0000-00009E010000}"/>
    <cellStyle name="강조색3 3 2" xfId="372" xr:uid="{00000000-0005-0000-0000-00009F010000}"/>
    <cellStyle name="강조색3 4" xfId="373" xr:uid="{00000000-0005-0000-0000-0000A0010000}"/>
    <cellStyle name="강조색3 4 2" xfId="374" xr:uid="{00000000-0005-0000-0000-0000A1010000}"/>
    <cellStyle name="강조색3 5" xfId="375" xr:uid="{00000000-0005-0000-0000-0000A2010000}"/>
    <cellStyle name="강조색3 6" xfId="376" xr:uid="{00000000-0005-0000-0000-0000A3010000}"/>
    <cellStyle name="강조색3 7" xfId="377" xr:uid="{00000000-0005-0000-0000-0000A4010000}"/>
    <cellStyle name="강조색3 8" xfId="378" xr:uid="{00000000-0005-0000-0000-0000A5010000}"/>
    <cellStyle name="강조색3 9" xfId="379" xr:uid="{00000000-0005-0000-0000-0000A6010000}"/>
    <cellStyle name="강조색4" xfId="794" builtinId="41" customBuiltin="1"/>
    <cellStyle name="강조색4 10" xfId="380" xr:uid="{00000000-0005-0000-0000-0000A8010000}"/>
    <cellStyle name="강조색4 11" xfId="381" xr:uid="{00000000-0005-0000-0000-0000A9010000}"/>
    <cellStyle name="강조색4 12" xfId="382" xr:uid="{00000000-0005-0000-0000-0000AA010000}"/>
    <cellStyle name="강조색4 13" xfId="383" xr:uid="{00000000-0005-0000-0000-0000AB010000}"/>
    <cellStyle name="강조색4 14" xfId="384" xr:uid="{00000000-0005-0000-0000-0000AC010000}"/>
    <cellStyle name="강조색4 15" xfId="385" xr:uid="{00000000-0005-0000-0000-0000AD010000}"/>
    <cellStyle name="강조색4 16" xfId="386" xr:uid="{00000000-0005-0000-0000-0000AE010000}"/>
    <cellStyle name="강조색4 2" xfId="387" xr:uid="{00000000-0005-0000-0000-0000AF010000}"/>
    <cellStyle name="강조색4 2 2" xfId="388" xr:uid="{00000000-0005-0000-0000-0000B0010000}"/>
    <cellStyle name="강조색4 3" xfId="389" xr:uid="{00000000-0005-0000-0000-0000B1010000}"/>
    <cellStyle name="강조색4 3 2" xfId="390" xr:uid="{00000000-0005-0000-0000-0000B2010000}"/>
    <cellStyle name="강조색4 4" xfId="391" xr:uid="{00000000-0005-0000-0000-0000B3010000}"/>
    <cellStyle name="강조색4 4 2" xfId="392" xr:uid="{00000000-0005-0000-0000-0000B4010000}"/>
    <cellStyle name="강조색4 5" xfId="393" xr:uid="{00000000-0005-0000-0000-0000B5010000}"/>
    <cellStyle name="강조색4 6" xfId="394" xr:uid="{00000000-0005-0000-0000-0000B6010000}"/>
    <cellStyle name="강조색4 7" xfId="395" xr:uid="{00000000-0005-0000-0000-0000B7010000}"/>
    <cellStyle name="강조색4 8" xfId="396" xr:uid="{00000000-0005-0000-0000-0000B8010000}"/>
    <cellStyle name="강조색4 9" xfId="397" xr:uid="{00000000-0005-0000-0000-0000B9010000}"/>
    <cellStyle name="강조색5" xfId="798" builtinId="45" customBuiltin="1"/>
    <cellStyle name="강조색5 10" xfId="398" xr:uid="{00000000-0005-0000-0000-0000BB010000}"/>
    <cellStyle name="강조색5 11" xfId="399" xr:uid="{00000000-0005-0000-0000-0000BC010000}"/>
    <cellStyle name="강조색5 12" xfId="400" xr:uid="{00000000-0005-0000-0000-0000BD010000}"/>
    <cellStyle name="강조색5 13" xfId="401" xr:uid="{00000000-0005-0000-0000-0000BE010000}"/>
    <cellStyle name="강조색5 14" xfId="402" xr:uid="{00000000-0005-0000-0000-0000BF010000}"/>
    <cellStyle name="강조색5 15" xfId="403" xr:uid="{00000000-0005-0000-0000-0000C0010000}"/>
    <cellStyle name="강조색5 16" xfId="404" xr:uid="{00000000-0005-0000-0000-0000C1010000}"/>
    <cellStyle name="강조색5 2" xfId="405" xr:uid="{00000000-0005-0000-0000-0000C2010000}"/>
    <cellStyle name="강조색5 2 2" xfId="406" xr:uid="{00000000-0005-0000-0000-0000C3010000}"/>
    <cellStyle name="강조색5 3" xfId="407" xr:uid="{00000000-0005-0000-0000-0000C4010000}"/>
    <cellStyle name="강조색5 3 2" xfId="408" xr:uid="{00000000-0005-0000-0000-0000C5010000}"/>
    <cellStyle name="강조색5 4" xfId="409" xr:uid="{00000000-0005-0000-0000-0000C6010000}"/>
    <cellStyle name="강조색5 4 2" xfId="410" xr:uid="{00000000-0005-0000-0000-0000C7010000}"/>
    <cellStyle name="강조색5 5" xfId="411" xr:uid="{00000000-0005-0000-0000-0000C8010000}"/>
    <cellStyle name="강조색5 6" xfId="412" xr:uid="{00000000-0005-0000-0000-0000C9010000}"/>
    <cellStyle name="강조색5 7" xfId="413" xr:uid="{00000000-0005-0000-0000-0000CA010000}"/>
    <cellStyle name="강조색5 8" xfId="414" xr:uid="{00000000-0005-0000-0000-0000CB010000}"/>
    <cellStyle name="강조색5 9" xfId="415" xr:uid="{00000000-0005-0000-0000-0000CC010000}"/>
    <cellStyle name="강조색6" xfId="802" builtinId="49" customBuiltin="1"/>
    <cellStyle name="강조색6 10" xfId="416" xr:uid="{00000000-0005-0000-0000-0000CE010000}"/>
    <cellStyle name="강조색6 11" xfId="417" xr:uid="{00000000-0005-0000-0000-0000CF010000}"/>
    <cellStyle name="강조색6 12" xfId="418" xr:uid="{00000000-0005-0000-0000-0000D0010000}"/>
    <cellStyle name="강조색6 13" xfId="419" xr:uid="{00000000-0005-0000-0000-0000D1010000}"/>
    <cellStyle name="강조색6 14" xfId="420" xr:uid="{00000000-0005-0000-0000-0000D2010000}"/>
    <cellStyle name="강조색6 15" xfId="421" xr:uid="{00000000-0005-0000-0000-0000D3010000}"/>
    <cellStyle name="강조색6 16" xfId="422" xr:uid="{00000000-0005-0000-0000-0000D4010000}"/>
    <cellStyle name="강조색6 2" xfId="423" xr:uid="{00000000-0005-0000-0000-0000D5010000}"/>
    <cellStyle name="강조색6 2 2" xfId="424" xr:uid="{00000000-0005-0000-0000-0000D6010000}"/>
    <cellStyle name="강조색6 3" xfId="425" xr:uid="{00000000-0005-0000-0000-0000D7010000}"/>
    <cellStyle name="강조색6 3 2" xfId="426" xr:uid="{00000000-0005-0000-0000-0000D8010000}"/>
    <cellStyle name="강조색6 4" xfId="427" xr:uid="{00000000-0005-0000-0000-0000D9010000}"/>
    <cellStyle name="강조색6 4 2" xfId="428" xr:uid="{00000000-0005-0000-0000-0000DA010000}"/>
    <cellStyle name="강조색6 5" xfId="429" xr:uid="{00000000-0005-0000-0000-0000DB010000}"/>
    <cellStyle name="강조색6 6" xfId="430" xr:uid="{00000000-0005-0000-0000-0000DC010000}"/>
    <cellStyle name="강조색6 7" xfId="431" xr:uid="{00000000-0005-0000-0000-0000DD010000}"/>
    <cellStyle name="강조색6 8" xfId="432" xr:uid="{00000000-0005-0000-0000-0000DE010000}"/>
    <cellStyle name="강조색6 9" xfId="433" xr:uid="{00000000-0005-0000-0000-0000DF010000}"/>
    <cellStyle name="경고문" xfId="779" builtinId="11" customBuiltin="1"/>
    <cellStyle name="경고문 10" xfId="434" xr:uid="{00000000-0005-0000-0000-0000E1010000}"/>
    <cellStyle name="경고문 11" xfId="435" xr:uid="{00000000-0005-0000-0000-0000E2010000}"/>
    <cellStyle name="경고문 12" xfId="436" xr:uid="{00000000-0005-0000-0000-0000E3010000}"/>
    <cellStyle name="경고문 13" xfId="437" xr:uid="{00000000-0005-0000-0000-0000E4010000}"/>
    <cellStyle name="경고문 14" xfId="438" xr:uid="{00000000-0005-0000-0000-0000E5010000}"/>
    <cellStyle name="경고문 15" xfId="439" xr:uid="{00000000-0005-0000-0000-0000E6010000}"/>
    <cellStyle name="경고문 16" xfId="440" xr:uid="{00000000-0005-0000-0000-0000E7010000}"/>
    <cellStyle name="경고문 2" xfId="441" xr:uid="{00000000-0005-0000-0000-0000E8010000}"/>
    <cellStyle name="경고문 2 2" xfId="442" xr:uid="{00000000-0005-0000-0000-0000E9010000}"/>
    <cellStyle name="경고문 3" xfId="443" xr:uid="{00000000-0005-0000-0000-0000EA010000}"/>
    <cellStyle name="경고문 3 2" xfId="444" xr:uid="{00000000-0005-0000-0000-0000EB010000}"/>
    <cellStyle name="경고문 4" xfId="445" xr:uid="{00000000-0005-0000-0000-0000EC010000}"/>
    <cellStyle name="경고문 4 2" xfId="446" xr:uid="{00000000-0005-0000-0000-0000ED010000}"/>
    <cellStyle name="경고문 5" xfId="447" xr:uid="{00000000-0005-0000-0000-0000EE010000}"/>
    <cellStyle name="경고문 6" xfId="448" xr:uid="{00000000-0005-0000-0000-0000EF010000}"/>
    <cellStyle name="경고문 7" xfId="449" xr:uid="{00000000-0005-0000-0000-0000F0010000}"/>
    <cellStyle name="경고문 8" xfId="450" xr:uid="{00000000-0005-0000-0000-0000F1010000}"/>
    <cellStyle name="경고문 9" xfId="451" xr:uid="{00000000-0005-0000-0000-0000F2010000}"/>
    <cellStyle name="계산" xfId="776" builtinId="22" customBuiltin="1"/>
    <cellStyle name="계산 10" xfId="452" xr:uid="{00000000-0005-0000-0000-0000F4010000}"/>
    <cellStyle name="계산 11" xfId="453" xr:uid="{00000000-0005-0000-0000-0000F5010000}"/>
    <cellStyle name="계산 12" xfId="454" xr:uid="{00000000-0005-0000-0000-0000F6010000}"/>
    <cellStyle name="계산 13" xfId="455" xr:uid="{00000000-0005-0000-0000-0000F7010000}"/>
    <cellStyle name="계산 14" xfId="456" xr:uid="{00000000-0005-0000-0000-0000F8010000}"/>
    <cellStyle name="계산 15" xfId="457" xr:uid="{00000000-0005-0000-0000-0000F9010000}"/>
    <cellStyle name="계산 16" xfId="458" xr:uid="{00000000-0005-0000-0000-0000FA010000}"/>
    <cellStyle name="계산 2" xfId="459" xr:uid="{00000000-0005-0000-0000-0000FB010000}"/>
    <cellStyle name="계산 2 2" xfId="460" xr:uid="{00000000-0005-0000-0000-0000FC010000}"/>
    <cellStyle name="계산 3" xfId="461" xr:uid="{00000000-0005-0000-0000-0000FD010000}"/>
    <cellStyle name="계산 3 2" xfId="462" xr:uid="{00000000-0005-0000-0000-0000FE010000}"/>
    <cellStyle name="계산 4" xfId="463" xr:uid="{00000000-0005-0000-0000-0000FF010000}"/>
    <cellStyle name="계산 4 2" xfId="464" xr:uid="{00000000-0005-0000-0000-000000020000}"/>
    <cellStyle name="계산 5" xfId="465" xr:uid="{00000000-0005-0000-0000-000001020000}"/>
    <cellStyle name="계산 6" xfId="466" xr:uid="{00000000-0005-0000-0000-000002020000}"/>
    <cellStyle name="계산 7" xfId="467" xr:uid="{00000000-0005-0000-0000-000003020000}"/>
    <cellStyle name="계산 8" xfId="468" xr:uid="{00000000-0005-0000-0000-000004020000}"/>
    <cellStyle name="계산 9" xfId="469" xr:uid="{00000000-0005-0000-0000-000005020000}"/>
    <cellStyle name="나쁨" xfId="772" builtinId="27" customBuiltin="1"/>
    <cellStyle name="나쁨 10" xfId="470" xr:uid="{00000000-0005-0000-0000-000007020000}"/>
    <cellStyle name="나쁨 11" xfId="471" xr:uid="{00000000-0005-0000-0000-000008020000}"/>
    <cellStyle name="나쁨 12" xfId="472" xr:uid="{00000000-0005-0000-0000-000009020000}"/>
    <cellStyle name="나쁨 13" xfId="473" xr:uid="{00000000-0005-0000-0000-00000A020000}"/>
    <cellStyle name="나쁨 14" xfId="474" xr:uid="{00000000-0005-0000-0000-00000B020000}"/>
    <cellStyle name="나쁨 15" xfId="475" xr:uid="{00000000-0005-0000-0000-00000C020000}"/>
    <cellStyle name="나쁨 16" xfId="476" xr:uid="{00000000-0005-0000-0000-00000D020000}"/>
    <cellStyle name="나쁨 2" xfId="477" xr:uid="{00000000-0005-0000-0000-00000E020000}"/>
    <cellStyle name="나쁨 2 2" xfId="478" xr:uid="{00000000-0005-0000-0000-00000F020000}"/>
    <cellStyle name="나쁨 3" xfId="479" xr:uid="{00000000-0005-0000-0000-000010020000}"/>
    <cellStyle name="나쁨 3 2" xfId="480" xr:uid="{00000000-0005-0000-0000-000011020000}"/>
    <cellStyle name="나쁨 4" xfId="481" xr:uid="{00000000-0005-0000-0000-000012020000}"/>
    <cellStyle name="나쁨 4 2" xfId="482" xr:uid="{00000000-0005-0000-0000-000013020000}"/>
    <cellStyle name="나쁨 5" xfId="483" xr:uid="{00000000-0005-0000-0000-000014020000}"/>
    <cellStyle name="나쁨 6" xfId="484" xr:uid="{00000000-0005-0000-0000-000015020000}"/>
    <cellStyle name="나쁨 7" xfId="485" xr:uid="{00000000-0005-0000-0000-000016020000}"/>
    <cellStyle name="나쁨 8" xfId="486" xr:uid="{00000000-0005-0000-0000-000017020000}"/>
    <cellStyle name="나쁨 9" xfId="487" xr:uid="{00000000-0005-0000-0000-000018020000}"/>
    <cellStyle name="메모 10" xfId="488" xr:uid="{00000000-0005-0000-0000-000019020000}"/>
    <cellStyle name="메모 11" xfId="489" xr:uid="{00000000-0005-0000-0000-00001A020000}"/>
    <cellStyle name="메모 12" xfId="490" xr:uid="{00000000-0005-0000-0000-00001B020000}"/>
    <cellStyle name="메모 13" xfId="491" xr:uid="{00000000-0005-0000-0000-00001C020000}"/>
    <cellStyle name="메모 14" xfId="492" xr:uid="{00000000-0005-0000-0000-00001D020000}"/>
    <cellStyle name="메모 15" xfId="493" xr:uid="{00000000-0005-0000-0000-00001E020000}"/>
    <cellStyle name="메모 16" xfId="494" xr:uid="{00000000-0005-0000-0000-00001F020000}"/>
    <cellStyle name="메모 17" xfId="807" xr:uid="{00000000-0005-0000-0000-000020020000}"/>
    <cellStyle name="메모 18" xfId="810" xr:uid="{00000000-0005-0000-0000-000021020000}"/>
    <cellStyle name="메모 2" xfId="495" xr:uid="{00000000-0005-0000-0000-000022020000}"/>
    <cellStyle name="메모 2 2" xfId="496" xr:uid="{00000000-0005-0000-0000-000023020000}"/>
    <cellStyle name="메모 3" xfId="497" xr:uid="{00000000-0005-0000-0000-000024020000}"/>
    <cellStyle name="메모 3 2" xfId="498" xr:uid="{00000000-0005-0000-0000-000025020000}"/>
    <cellStyle name="메모 4" xfId="499" xr:uid="{00000000-0005-0000-0000-000026020000}"/>
    <cellStyle name="메모 4 2" xfId="500" xr:uid="{00000000-0005-0000-0000-000027020000}"/>
    <cellStyle name="메모 5" xfId="501" xr:uid="{00000000-0005-0000-0000-000028020000}"/>
    <cellStyle name="메모 6" xfId="502" xr:uid="{00000000-0005-0000-0000-000029020000}"/>
    <cellStyle name="메모 7" xfId="503" xr:uid="{00000000-0005-0000-0000-00002A020000}"/>
    <cellStyle name="메모 8" xfId="504" xr:uid="{00000000-0005-0000-0000-00002B020000}"/>
    <cellStyle name="메모 9" xfId="505" xr:uid="{00000000-0005-0000-0000-00002C020000}"/>
    <cellStyle name="백분율" xfId="506" builtinId="5"/>
    <cellStyle name="백분율 2" xfId="507" xr:uid="{00000000-0005-0000-0000-00002E020000}"/>
    <cellStyle name="백분율 3" xfId="764" xr:uid="{00000000-0005-0000-0000-00002F020000}"/>
    <cellStyle name="보통" xfId="773" builtinId="28" customBuiltin="1"/>
    <cellStyle name="보통 10" xfId="508" xr:uid="{00000000-0005-0000-0000-000031020000}"/>
    <cellStyle name="보통 11" xfId="509" xr:uid="{00000000-0005-0000-0000-000032020000}"/>
    <cellStyle name="보통 12" xfId="510" xr:uid="{00000000-0005-0000-0000-000033020000}"/>
    <cellStyle name="보통 13" xfId="511" xr:uid="{00000000-0005-0000-0000-000034020000}"/>
    <cellStyle name="보통 14" xfId="512" xr:uid="{00000000-0005-0000-0000-000035020000}"/>
    <cellStyle name="보통 15" xfId="513" xr:uid="{00000000-0005-0000-0000-000036020000}"/>
    <cellStyle name="보통 16" xfId="514" xr:uid="{00000000-0005-0000-0000-000037020000}"/>
    <cellStyle name="보통 17" xfId="809" xr:uid="{00000000-0005-0000-0000-000038020000}"/>
    <cellStyle name="보통 2" xfId="515" xr:uid="{00000000-0005-0000-0000-000039020000}"/>
    <cellStyle name="보통 2 2" xfId="516" xr:uid="{00000000-0005-0000-0000-00003A020000}"/>
    <cellStyle name="보통 3" xfId="517" xr:uid="{00000000-0005-0000-0000-00003B020000}"/>
    <cellStyle name="보통 3 2" xfId="518" xr:uid="{00000000-0005-0000-0000-00003C020000}"/>
    <cellStyle name="보통 4" xfId="519" xr:uid="{00000000-0005-0000-0000-00003D020000}"/>
    <cellStyle name="보통 4 2" xfId="520" xr:uid="{00000000-0005-0000-0000-00003E020000}"/>
    <cellStyle name="보통 5" xfId="521" xr:uid="{00000000-0005-0000-0000-00003F020000}"/>
    <cellStyle name="보통 6" xfId="522" xr:uid="{00000000-0005-0000-0000-000040020000}"/>
    <cellStyle name="보통 7" xfId="523" xr:uid="{00000000-0005-0000-0000-000041020000}"/>
    <cellStyle name="보통 8" xfId="524" xr:uid="{00000000-0005-0000-0000-000042020000}"/>
    <cellStyle name="보통 9" xfId="525" xr:uid="{00000000-0005-0000-0000-000043020000}"/>
    <cellStyle name="설명 텍스트" xfId="780" builtinId="53" customBuiltin="1"/>
    <cellStyle name="설명 텍스트 10" xfId="526" xr:uid="{00000000-0005-0000-0000-000045020000}"/>
    <cellStyle name="설명 텍스트 11" xfId="527" xr:uid="{00000000-0005-0000-0000-000046020000}"/>
    <cellStyle name="설명 텍스트 12" xfId="528" xr:uid="{00000000-0005-0000-0000-000047020000}"/>
    <cellStyle name="설명 텍스트 13" xfId="529" xr:uid="{00000000-0005-0000-0000-000048020000}"/>
    <cellStyle name="설명 텍스트 14" xfId="530" xr:uid="{00000000-0005-0000-0000-000049020000}"/>
    <cellStyle name="설명 텍스트 15" xfId="531" xr:uid="{00000000-0005-0000-0000-00004A020000}"/>
    <cellStyle name="설명 텍스트 16" xfId="532" xr:uid="{00000000-0005-0000-0000-00004B020000}"/>
    <cellStyle name="설명 텍스트 2" xfId="533" xr:uid="{00000000-0005-0000-0000-00004C020000}"/>
    <cellStyle name="설명 텍스트 2 2" xfId="534" xr:uid="{00000000-0005-0000-0000-00004D020000}"/>
    <cellStyle name="설명 텍스트 3" xfId="535" xr:uid="{00000000-0005-0000-0000-00004E020000}"/>
    <cellStyle name="설명 텍스트 3 2" xfId="536" xr:uid="{00000000-0005-0000-0000-00004F020000}"/>
    <cellStyle name="설명 텍스트 4" xfId="537" xr:uid="{00000000-0005-0000-0000-000050020000}"/>
    <cellStyle name="설명 텍스트 4 2" xfId="538" xr:uid="{00000000-0005-0000-0000-000051020000}"/>
    <cellStyle name="설명 텍스트 5" xfId="539" xr:uid="{00000000-0005-0000-0000-000052020000}"/>
    <cellStyle name="설명 텍스트 6" xfId="540" xr:uid="{00000000-0005-0000-0000-000053020000}"/>
    <cellStyle name="설명 텍스트 7" xfId="541" xr:uid="{00000000-0005-0000-0000-000054020000}"/>
    <cellStyle name="설명 텍스트 8" xfId="542" xr:uid="{00000000-0005-0000-0000-000055020000}"/>
    <cellStyle name="설명 텍스트 9" xfId="543" xr:uid="{00000000-0005-0000-0000-000056020000}"/>
    <cellStyle name="셀 확인" xfId="778" builtinId="23" customBuiltin="1"/>
    <cellStyle name="셀 확인 10" xfId="544" xr:uid="{00000000-0005-0000-0000-000058020000}"/>
    <cellStyle name="셀 확인 11" xfId="545" xr:uid="{00000000-0005-0000-0000-000059020000}"/>
    <cellStyle name="셀 확인 12" xfId="546" xr:uid="{00000000-0005-0000-0000-00005A020000}"/>
    <cellStyle name="셀 확인 13" xfId="547" xr:uid="{00000000-0005-0000-0000-00005B020000}"/>
    <cellStyle name="셀 확인 14" xfId="548" xr:uid="{00000000-0005-0000-0000-00005C020000}"/>
    <cellStyle name="셀 확인 15" xfId="549" xr:uid="{00000000-0005-0000-0000-00005D020000}"/>
    <cellStyle name="셀 확인 16" xfId="550" xr:uid="{00000000-0005-0000-0000-00005E020000}"/>
    <cellStyle name="셀 확인 2" xfId="551" xr:uid="{00000000-0005-0000-0000-00005F020000}"/>
    <cellStyle name="셀 확인 2 2" xfId="552" xr:uid="{00000000-0005-0000-0000-000060020000}"/>
    <cellStyle name="셀 확인 3" xfId="553" xr:uid="{00000000-0005-0000-0000-000061020000}"/>
    <cellStyle name="셀 확인 3 2" xfId="554" xr:uid="{00000000-0005-0000-0000-000062020000}"/>
    <cellStyle name="셀 확인 4" xfId="555" xr:uid="{00000000-0005-0000-0000-000063020000}"/>
    <cellStyle name="셀 확인 4 2" xfId="556" xr:uid="{00000000-0005-0000-0000-000064020000}"/>
    <cellStyle name="셀 확인 5" xfId="557" xr:uid="{00000000-0005-0000-0000-000065020000}"/>
    <cellStyle name="셀 확인 6" xfId="558" xr:uid="{00000000-0005-0000-0000-000066020000}"/>
    <cellStyle name="셀 확인 7" xfId="559" xr:uid="{00000000-0005-0000-0000-000067020000}"/>
    <cellStyle name="셀 확인 8" xfId="560" xr:uid="{00000000-0005-0000-0000-000068020000}"/>
    <cellStyle name="셀 확인 9" xfId="561" xr:uid="{00000000-0005-0000-0000-000069020000}"/>
    <cellStyle name="쉼표 [0]" xfId="562" builtinId="6"/>
    <cellStyle name="쉼표 [0] 10" xfId="830" xr:uid="{00000000-0005-0000-0000-00006B020000}"/>
    <cellStyle name="쉼표 [0] 2" xfId="563" xr:uid="{00000000-0005-0000-0000-00006C020000}"/>
    <cellStyle name="쉼표 [0] 3" xfId="763" xr:uid="{00000000-0005-0000-0000-00006D020000}"/>
    <cellStyle name="연결된 셀" xfId="777" builtinId="24" customBuiltin="1"/>
    <cellStyle name="연결된 셀 10" xfId="564" xr:uid="{00000000-0005-0000-0000-00006F020000}"/>
    <cellStyle name="연결된 셀 11" xfId="565" xr:uid="{00000000-0005-0000-0000-000070020000}"/>
    <cellStyle name="연결된 셀 12" xfId="566" xr:uid="{00000000-0005-0000-0000-000071020000}"/>
    <cellStyle name="연결된 셀 13" xfId="567" xr:uid="{00000000-0005-0000-0000-000072020000}"/>
    <cellStyle name="연결된 셀 14" xfId="568" xr:uid="{00000000-0005-0000-0000-000073020000}"/>
    <cellStyle name="연결된 셀 15" xfId="569" xr:uid="{00000000-0005-0000-0000-000074020000}"/>
    <cellStyle name="연결된 셀 16" xfId="570" xr:uid="{00000000-0005-0000-0000-000075020000}"/>
    <cellStyle name="연결된 셀 2" xfId="571" xr:uid="{00000000-0005-0000-0000-000076020000}"/>
    <cellStyle name="연결된 셀 2 2" xfId="572" xr:uid="{00000000-0005-0000-0000-000077020000}"/>
    <cellStyle name="연결된 셀 3" xfId="573" xr:uid="{00000000-0005-0000-0000-000078020000}"/>
    <cellStyle name="연결된 셀 3 2" xfId="574" xr:uid="{00000000-0005-0000-0000-000079020000}"/>
    <cellStyle name="연결된 셀 4" xfId="575" xr:uid="{00000000-0005-0000-0000-00007A020000}"/>
    <cellStyle name="연결된 셀 4 2" xfId="576" xr:uid="{00000000-0005-0000-0000-00007B020000}"/>
    <cellStyle name="연결된 셀 5" xfId="577" xr:uid="{00000000-0005-0000-0000-00007C020000}"/>
    <cellStyle name="연결된 셀 6" xfId="578" xr:uid="{00000000-0005-0000-0000-00007D020000}"/>
    <cellStyle name="연결된 셀 7" xfId="579" xr:uid="{00000000-0005-0000-0000-00007E020000}"/>
    <cellStyle name="연결된 셀 8" xfId="580" xr:uid="{00000000-0005-0000-0000-00007F020000}"/>
    <cellStyle name="연결된 셀 9" xfId="581" xr:uid="{00000000-0005-0000-0000-000080020000}"/>
    <cellStyle name="요약" xfId="781" builtinId="25" customBuiltin="1"/>
    <cellStyle name="요약 10" xfId="582" xr:uid="{00000000-0005-0000-0000-000082020000}"/>
    <cellStyle name="요약 11" xfId="583" xr:uid="{00000000-0005-0000-0000-000083020000}"/>
    <cellStyle name="요약 12" xfId="584" xr:uid="{00000000-0005-0000-0000-000084020000}"/>
    <cellStyle name="요약 13" xfId="585" xr:uid="{00000000-0005-0000-0000-000085020000}"/>
    <cellStyle name="요약 14" xfId="586" xr:uid="{00000000-0005-0000-0000-000086020000}"/>
    <cellStyle name="요약 15" xfId="587" xr:uid="{00000000-0005-0000-0000-000087020000}"/>
    <cellStyle name="요약 16" xfId="588" xr:uid="{00000000-0005-0000-0000-000088020000}"/>
    <cellStyle name="요약 2" xfId="589" xr:uid="{00000000-0005-0000-0000-000089020000}"/>
    <cellStyle name="요약 2 2" xfId="590" xr:uid="{00000000-0005-0000-0000-00008A020000}"/>
    <cellStyle name="요약 3" xfId="591" xr:uid="{00000000-0005-0000-0000-00008B020000}"/>
    <cellStyle name="요약 3 2" xfId="592" xr:uid="{00000000-0005-0000-0000-00008C020000}"/>
    <cellStyle name="요약 4" xfId="593" xr:uid="{00000000-0005-0000-0000-00008D020000}"/>
    <cellStyle name="요약 4 2" xfId="594" xr:uid="{00000000-0005-0000-0000-00008E020000}"/>
    <cellStyle name="요약 5" xfId="595" xr:uid="{00000000-0005-0000-0000-00008F020000}"/>
    <cellStyle name="요약 6" xfId="596" xr:uid="{00000000-0005-0000-0000-000090020000}"/>
    <cellStyle name="요약 7" xfId="597" xr:uid="{00000000-0005-0000-0000-000091020000}"/>
    <cellStyle name="요약 8" xfId="598" xr:uid="{00000000-0005-0000-0000-000092020000}"/>
    <cellStyle name="요약 9" xfId="599" xr:uid="{00000000-0005-0000-0000-000093020000}"/>
    <cellStyle name="입력" xfId="774" builtinId="20" customBuiltin="1"/>
    <cellStyle name="입력 10" xfId="600" xr:uid="{00000000-0005-0000-0000-000095020000}"/>
    <cellStyle name="입력 11" xfId="601" xr:uid="{00000000-0005-0000-0000-000096020000}"/>
    <cellStyle name="입력 12" xfId="602" xr:uid="{00000000-0005-0000-0000-000097020000}"/>
    <cellStyle name="입력 13" xfId="603" xr:uid="{00000000-0005-0000-0000-000098020000}"/>
    <cellStyle name="입력 14" xfId="604" xr:uid="{00000000-0005-0000-0000-000099020000}"/>
    <cellStyle name="입력 15" xfId="605" xr:uid="{00000000-0005-0000-0000-00009A020000}"/>
    <cellStyle name="입력 16" xfId="606" xr:uid="{00000000-0005-0000-0000-00009B020000}"/>
    <cellStyle name="입력 2" xfId="607" xr:uid="{00000000-0005-0000-0000-00009C020000}"/>
    <cellStyle name="입력 2 2" xfId="608" xr:uid="{00000000-0005-0000-0000-00009D020000}"/>
    <cellStyle name="입력 3" xfId="609" xr:uid="{00000000-0005-0000-0000-00009E020000}"/>
    <cellStyle name="입력 3 2" xfId="610" xr:uid="{00000000-0005-0000-0000-00009F020000}"/>
    <cellStyle name="입력 4" xfId="611" xr:uid="{00000000-0005-0000-0000-0000A0020000}"/>
    <cellStyle name="입력 4 2" xfId="612" xr:uid="{00000000-0005-0000-0000-0000A1020000}"/>
    <cellStyle name="입력 5" xfId="613" xr:uid="{00000000-0005-0000-0000-0000A2020000}"/>
    <cellStyle name="입력 6" xfId="614" xr:uid="{00000000-0005-0000-0000-0000A3020000}"/>
    <cellStyle name="입력 7" xfId="615" xr:uid="{00000000-0005-0000-0000-0000A4020000}"/>
    <cellStyle name="입력 8" xfId="616" xr:uid="{00000000-0005-0000-0000-0000A5020000}"/>
    <cellStyle name="입력 9" xfId="617" xr:uid="{00000000-0005-0000-0000-0000A6020000}"/>
    <cellStyle name="제목" xfId="766" builtinId="15" customBuiltin="1"/>
    <cellStyle name="제목 1" xfId="767" builtinId="16" customBuiltin="1"/>
    <cellStyle name="제목 1 10" xfId="618" xr:uid="{00000000-0005-0000-0000-0000A9020000}"/>
    <cellStyle name="제목 1 11" xfId="619" xr:uid="{00000000-0005-0000-0000-0000AA020000}"/>
    <cellStyle name="제목 1 12" xfId="620" xr:uid="{00000000-0005-0000-0000-0000AB020000}"/>
    <cellStyle name="제목 1 13" xfId="621" xr:uid="{00000000-0005-0000-0000-0000AC020000}"/>
    <cellStyle name="제목 1 14" xfId="622" xr:uid="{00000000-0005-0000-0000-0000AD020000}"/>
    <cellStyle name="제목 1 15" xfId="623" xr:uid="{00000000-0005-0000-0000-0000AE020000}"/>
    <cellStyle name="제목 1 16" xfId="624" xr:uid="{00000000-0005-0000-0000-0000AF020000}"/>
    <cellStyle name="제목 1 2" xfId="625" xr:uid="{00000000-0005-0000-0000-0000B0020000}"/>
    <cellStyle name="제목 1 2 2" xfId="626" xr:uid="{00000000-0005-0000-0000-0000B1020000}"/>
    <cellStyle name="제목 1 3" xfId="627" xr:uid="{00000000-0005-0000-0000-0000B2020000}"/>
    <cellStyle name="제목 1 3 2" xfId="628" xr:uid="{00000000-0005-0000-0000-0000B3020000}"/>
    <cellStyle name="제목 1 4" xfId="629" xr:uid="{00000000-0005-0000-0000-0000B4020000}"/>
    <cellStyle name="제목 1 4 2" xfId="630" xr:uid="{00000000-0005-0000-0000-0000B5020000}"/>
    <cellStyle name="제목 1 5" xfId="631" xr:uid="{00000000-0005-0000-0000-0000B6020000}"/>
    <cellStyle name="제목 1 6" xfId="632" xr:uid="{00000000-0005-0000-0000-0000B7020000}"/>
    <cellStyle name="제목 1 7" xfId="633" xr:uid="{00000000-0005-0000-0000-0000B8020000}"/>
    <cellStyle name="제목 1 8" xfId="634" xr:uid="{00000000-0005-0000-0000-0000B9020000}"/>
    <cellStyle name="제목 1 9" xfId="635" xr:uid="{00000000-0005-0000-0000-0000BA020000}"/>
    <cellStyle name="제목 10" xfId="636" xr:uid="{00000000-0005-0000-0000-0000BB020000}"/>
    <cellStyle name="제목 11" xfId="637" xr:uid="{00000000-0005-0000-0000-0000BC020000}"/>
    <cellStyle name="제목 12" xfId="638" xr:uid="{00000000-0005-0000-0000-0000BD020000}"/>
    <cellStyle name="제목 13" xfId="639" xr:uid="{00000000-0005-0000-0000-0000BE020000}"/>
    <cellStyle name="제목 14" xfId="640" xr:uid="{00000000-0005-0000-0000-0000BF020000}"/>
    <cellStyle name="제목 15" xfId="641" xr:uid="{00000000-0005-0000-0000-0000C0020000}"/>
    <cellStyle name="제목 16" xfId="642" xr:uid="{00000000-0005-0000-0000-0000C1020000}"/>
    <cellStyle name="제목 17" xfId="643" xr:uid="{00000000-0005-0000-0000-0000C2020000}"/>
    <cellStyle name="제목 18" xfId="644" xr:uid="{00000000-0005-0000-0000-0000C3020000}"/>
    <cellStyle name="제목 19" xfId="645" xr:uid="{00000000-0005-0000-0000-0000C4020000}"/>
    <cellStyle name="제목 2" xfId="768" builtinId="17" customBuiltin="1"/>
    <cellStyle name="제목 2 10" xfId="646" xr:uid="{00000000-0005-0000-0000-0000C6020000}"/>
    <cellStyle name="제목 2 11" xfId="647" xr:uid="{00000000-0005-0000-0000-0000C7020000}"/>
    <cellStyle name="제목 2 12" xfId="648" xr:uid="{00000000-0005-0000-0000-0000C8020000}"/>
    <cellStyle name="제목 2 13" xfId="649" xr:uid="{00000000-0005-0000-0000-0000C9020000}"/>
    <cellStyle name="제목 2 14" xfId="650" xr:uid="{00000000-0005-0000-0000-0000CA020000}"/>
    <cellStyle name="제목 2 15" xfId="651" xr:uid="{00000000-0005-0000-0000-0000CB020000}"/>
    <cellStyle name="제목 2 16" xfId="652" xr:uid="{00000000-0005-0000-0000-0000CC020000}"/>
    <cellStyle name="제목 2 2" xfId="653" xr:uid="{00000000-0005-0000-0000-0000CD020000}"/>
    <cellStyle name="제목 2 2 2" xfId="654" xr:uid="{00000000-0005-0000-0000-0000CE020000}"/>
    <cellStyle name="제목 2 3" xfId="655" xr:uid="{00000000-0005-0000-0000-0000CF020000}"/>
    <cellStyle name="제목 2 3 2" xfId="656" xr:uid="{00000000-0005-0000-0000-0000D0020000}"/>
    <cellStyle name="제목 2 4" xfId="657" xr:uid="{00000000-0005-0000-0000-0000D1020000}"/>
    <cellStyle name="제목 2 4 2" xfId="658" xr:uid="{00000000-0005-0000-0000-0000D2020000}"/>
    <cellStyle name="제목 2 5" xfId="659" xr:uid="{00000000-0005-0000-0000-0000D3020000}"/>
    <cellStyle name="제목 2 6" xfId="660" xr:uid="{00000000-0005-0000-0000-0000D4020000}"/>
    <cellStyle name="제목 2 7" xfId="661" xr:uid="{00000000-0005-0000-0000-0000D5020000}"/>
    <cellStyle name="제목 2 8" xfId="662" xr:uid="{00000000-0005-0000-0000-0000D6020000}"/>
    <cellStyle name="제목 2 9" xfId="663" xr:uid="{00000000-0005-0000-0000-0000D7020000}"/>
    <cellStyle name="제목 3" xfId="769" builtinId="18" customBuiltin="1"/>
    <cellStyle name="제목 3 10" xfId="664" xr:uid="{00000000-0005-0000-0000-0000D9020000}"/>
    <cellStyle name="제목 3 11" xfId="665" xr:uid="{00000000-0005-0000-0000-0000DA020000}"/>
    <cellStyle name="제목 3 12" xfId="666" xr:uid="{00000000-0005-0000-0000-0000DB020000}"/>
    <cellStyle name="제목 3 13" xfId="667" xr:uid="{00000000-0005-0000-0000-0000DC020000}"/>
    <cellStyle name="제목 3 14" xfId="668" xr:uid="{00000000-0005-0000-0000-0000DD020000}"/>
    <cellStyle name="제목 3 15" xfId="669" xr:uid="{00000000-0005-0000-0000-0000DE020000}"/>
    <cellStyle name="제목 3 16" xfId="670" xr:uid="{00000000-0005-0000-0000-0000DF020000}"/>
    <cellStyle name="제목 3 2" xfId="671" xr:uid="{00000000-0005-0000-0000-0000E0020000}"/>
    <cellStyle name="제목 3 2 2" xfId="672" xr:uid="{00000000-0005-0000-0000-0000E1020000}"/>
    <cellStyle name="제목 3 3" xfId="673" xr:uid="{00000000-0005-0000-0000-0000E2020000}"/>
    <cellStyle name="제목 3 3 2" xfId="674" xr:uid="{00000000-0005-0000-0000-0000E3020000}"/>
    <cellStyle name="제목 3 4" xfId="675" xr:uid="{00000000-0005-0000-0000-0000E4020000}"/>
    <cellStyle name="제목 3 4 2" xfId="676" xr:uid="{00000000-0005-0000-0000-0000E5020000}"/>
    <cellStyle name="제목 3 5" xfId="677" xr:uid="{00000000-0005-0000-0000-0000E6020000}"/>
    <cellStyle name="제목 3 6" xfId="678" xr:uid="{00000000-0005-0000-0000-0000E7020000}"/>
    <cellStyle name="제목 3 7" xfId="679" xr:uid="{00000000-0005-0000-0000-0000E8020000}"/>
    <cellStyle name="제목 3 8" xfId="680" xr:uid="{00000000-0005-0000-0000-0000E9020000}"/>
    <cellStyle name="제목 3 9" xfId="681" xr:uid="{00000000-0005-0000-0000-0000EA020000}"/>
    <cellStyle name="제목 4" xfId="770" builtinId="19" customBuiltin="1"/>
    <cellStyle name="제목 4 10" xfId="682" xr:uid="{00000000-0005-0000-0000-0000EC020000}"/>
    <cellStyle name="제목 4 11" xfId="683" xr:uid="{00000000-0005-0000-0000-0000ED020000}"/>
    <cellStyle name="제목 4 12" xfId="684" xr:uid="{00000000-0005-0000-0000-0000EE020000}"/>
    <cellStyle name="제목 4 13" xfId="685" xr:uid="{00000000-0005-0000-0000-0000EF020000}"/>
    <cellStyle name="제목 4 14" xfId="686" xr:uid="{00000000-0005-0000-0000-0000F0020000}"/>
    <cellStyle name="제목 4 15" xfId="687" xr:uid="{00000000-0005-0000-0000-0000F1020000}"/>
    <cellStyle name="제목 4 16" xfId="688" xr:uid="{00000000-0005-0000-0000-0000F2020000}"/>
    <cellStyle name="제목 4 2" xfId="689" xr:uid="{00000000-0005-0000-0000-0000F3020000}"/>
    <cellStyle name="제목 4 2 2" xfId="690" xr:uid="{00000000-0005-0000-0000-0000F4020000}"/>
    <cellStyle name="제목 4 3" xfId="691" xr:uid="{00000000-0005-0000-0000-0000F5020000}"/>
    <cellStyle name="제목 4 3 2" xfId="692" xr:uid="{00000000-0005-0000-0000-0000F6020000}"/>
    <cellStyle name="제목 4 4" xfId="693" xr:uid="{00000000-0005-0000-0000-0000F7020000}"/>
    <cellStyle name="제목 4 4 2" xfId="694" xr:uid="{00000000-0005-0000-0000-0000F8020000}"/>
    <cellStyle name="제목 4 5" xfId="695" xr:uid="{00000000-0005-0000-0000-0000F9020000}"/>
    <cellStyle name="제목 4 6" xfId="696" xr:uid="{00000000-0005-0000-0000-0000FA020000}"/>
    <cellStyle name="제목 4 7" xfId="697" xr:uid="{00000000-0005-0000-0000-0000FB020000}"/>
    <cellStyle name="제목 4 8" xfId="698" xr:uid="{00000000-0005-0000-0000-0000FC020000}"/>
    <cellStyle name="제목 4 9" xfId="699" xr:uid="{00000000-0005-0000-0000-0000FD020000}"/>
    <cellStyle name="제목 5" xfId="700" xr:uid="{00000000-0005-0000-0000-0000FE020000}"/>
    <cellStyle name="제목 5 2" xfId="701" xr:uid="{00000000-0005-0000-0000-0000FF020000}"/>
    <cellStyle name="제목 6" xfId="702" xr:uid="{00000000-0005-0000-0000-000000030000}"/>
    <cellStyle name="제목 6 2" xfId="703" xr:uid="{00000000-0005-0000-0000-000001030000}"/>
    <cellStyle name="제목 7" xfId="704" xr:uid="{00000000-0005-0000-0000-000002030000}"/>
    <cellStyle name="제목 7 2" xfId="705" xr:uid="{00000000-0005-0000-0000-000003030000}"/>
    <cellStyle name="제목 8" xfId="706" xr:uid="{00000000-0005-0000-0000-000004030000}"/>
    <cellStyle name="제목 9" xfId="707" xr:uid="{00000000-0005-0000-0000-000005030000}"/>
    <cellStyle name="좋음" xfId="771" builtinId="26" customBuiltin="1"/>
    <cellStyle name="좋음 10" xfId="708" xr:uid="{00000000-0005-0000-0000-000007030000}"/>
    <cellStyle name="좋음 11" xfId="709" xr:uid="{00000000-0005-0000-0000-000008030000}"/>
    <cellStyle name="좋음 12" xfId="710" xr:uid="{00000000-0005-0000-0000-000009030000}"/>
    <cellStyle name="좋음 13" xfId="711" xr:uid="{00000000-0005-0000-0000-00000A030000}"/>
    <cellStyle name="좋음 14" xfId="712" xr:uid="{00000000-0005-0000-0000-00000B030000}"/>
    <cellStyle name="좋음 15" xfId="713" xr:uid="{00000000-0005-0000-0000-00000C030000}"/>
    <cellStyle name="좋음 16" xfId="714" xr:uid="{00000000-0005-0000-0000-00000D030000}"/>
    <cellStyle name="좋음 2" xfId="715" xr:uid="{00000000-0005-0000-0000-00000E030000}"/>
    <cellStyle name="좋음 2 2" xfId="716" xr:uid="{00000000-0005-0000-0000-00000F030000}"/>
    <cellStyle name="좋음 3" xfId="717" xr:uid="{00000000-0005-0000-0000-000010030000}"/>
    <cellStyle name="좋음 3 2" xfId="718" xr:uid="{00000000-0005-0000-0000-000011030000}"/>
    <cellStyle name="좋음 4" xfId="719" xr:uid="{00000000-0005-0000-0000-000012030000}"/>
    <cellStyle name="좋음 4 2" xfId="720" xr:uid="{00000000-0005-0000-0000-000013030000}"/>
    <cellStyle name="좋음 5" xfId="721" xr:uid="{00000000-0005-0000-0000-000014030000}"/>
    <cellStyle name="좋음 6" xfId="722" xr:uid="{00000000-0005-0000-0000-000015030000}"/>
    <cellStyle name="좋음 7" xfId="723" xr:uid="{00000000-0005-0000-0000-000016030000}"/>
    <cellStyle name="좋음 8" xfId="724" xr:uid="{00000000-0005-0000-0000-000017030000}"/>
    <cellStyle name="좋음 9" xfId="725" xr:uid="{00000000-0005-0000-0000-000018030000}"/>
    <cellStyle name="출력" xfId="775" builtinId="21" customBuiltin="1"/>
    <cellStyle name="출력 10" xfId="726" xr:uid="{00000000-0005-0000-0000-00001A030000}"/>
    <cellStyle name="출력 11" xfId="727" xr:uid="{00000000-0005-0000-0000-00001B030000}"/>
    <cellStyle name="출력 12" xfId="728" xr:uid="{00000000-0005-0000-0000-00001C030000}"/>
    <cellStyle name="출력 13" xfId="729" xr:uid="{00000000-0005-0000-0000-00001D030000}"/>
    <cellStyle name="출력 14" xfId="730" xr:uid="{00000000-0005-0000-0000-00001E030000}"/>
    <cellStyle name="출력 15" xfId="731" xr:uid="{00000000-0005-0000-0000-00001F030000}"/>
    <cellStyle name="출력 16" xfId="732" xr:uid="{00000000-0005-0000-0000-000020030000}"/>
    <cellStyle name="출력 2" xfId="733" xr:uid="{00000000-0005-0000-0000-000021030000}"/>
    <cellStyle name="출력 2 2" xfId="734" xr:uid="{00000000-0005-0000-0000-000022030000}"/>
    <cellStyle name="출력 3" xfId="735" xr:uid="{00000000-0005-0000-0000-000023030000}"/>
    <cellStyle name="출력 3 2" xfId="736" xr:uid="{00000000-0005-0000-0000-000024030000}"/>
    <cellStyle name="출력 4" xfId="737" xr:uid="{00000000-0005-0000-0000-000025030000}"/>
    <cellStyle name="출력 4 2" xfId="738" xr:uid="{00000000-0005-0000-0000-000026030000}"/>
    <cellStyle name="출력 5" xfId="739" xr:uid="{00000000-0005-0000-0000-000027030000}"/>
    <cellStyle name="출력 6" xfId="740" xr:uid="{00000000-0005-0000-0000-000028030000}"/>
    <cellStyle name="출력 7" xfId="741" xr:uid="{00000000-0005-0000-0000-000029030000}"/>
    <cellStyle name="출력 8" xfId="742" xr:uid="{00000000-0005-0000-0000-00002A030000}"/>
    <cellStyle name="출력 9" xfId="743" xr:uid="{00000000-0005-0000-0000-00002B030000}"/>
    <cellStyle name="콤마(0)_임원회의자료(현황자료)0628" xfId="829" xr:uid="{00000000-0005-0000-0000-00002C030000}"/>
    <cellStyle name="통화 [0] 2" xfId="831" xr:uid="{00000000-0005-0000-0000-00002D030000}"/>
    <cellStyle name="표준" xfId="0" builtinId="0"/>
    <cellStyle name="표준 10" xfId="744" xr:uid="{00000000-0005-0000-0000-00002F030000}"/>
    <cellStyle name="표준 11" xfId="745" xr:uid="{00000000-0005-0000-0000-000030030000}"/>
    <cellStyle name="표준 12" xfId="746" xr:uid="{00000000-0005-0000-0000-000031030000}"/>
    <cellStyle name="표준 13" xfId="747" xr:uid="{00000000-0005-0000-0000-000032030000}"/>
    <cellStyle name="표준 14" xfId="748" xr:uid="{00000000-0005-0000-0000-000033030000}"/>
    <cellStyle name="표준 15" xfId="749" xr:uid="{00000000-0005-0000-0000-000034030000}"/>
    <cellStyle name="표준 16" xfId="750" xr:uid="{00000000-0005-0000-0000-000035030000}"/>
    <cellStyle name="표준 2" xfId="751" xr:uid="{00000000-0005-0000-0000-000036030000}"/>
    <cellStyle name="표준 2 2" xfId="752" xr:uid="{00000000-0005-0000-0000-000037030000}"/>
    <cellStyle name="표준 2 2 2" xfId="765" xr:uid="{00000000-0005-0000-0000-000038030000}"/>
    <cellStyle name="표준 2 3" xfId="753" xr:uid="{00000000-0005-0000-0000-000039030000}"/>
    <cellStyle name="표준 3" xfId="806" xr:uid="{00000000-0005-0000-0000-00003A030000}"/>
    <cellStyle name="표준 3 2" xfId="754" xr:uid="{00000000-0005-0000-0000-00003B030000}"/>
    <cellStyle name="표준 3 3" xfId="755" xr:uid="{00000000-0005-0000-0000-00003C030000}"/>
    <cellStyle name="표준 4" xfId="808" xr:uid="{00000000-0005-0000-0000-00003D030000}"/>
    <cellStyle name="표준 5" xfId="756" xr:uid="{00000000-0005-0000-0000-00003E030000}"/>
    <cellStyle name="표준 6" xfId="757" xr:uid="{00000000-0005-0000-0000-00003F030000}"/>
    <cellStyle name="표준 7" xfId="758" xr:uid="{00000000-0005-0000-0000-000040030000}"/>
    <cellStyle name="표준 8" xfId="759" xr:uid="{00000000-0005-0000-0000-000041030000}"/>
    <cellStyle name="표준 9" xfId="760" xr:uid="{00000000-0005-0000-0000-000042030000}"/>
    <cellStyle name="표준1" xfId="761" xr:uid="{00000000-0005-0000-0000-000043030000}"/>
    <cellStyle name="하이퍼링크" xfId="762" builtin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rgb="FFFF0000"/>
        </patternFill>
      </fill>
    </dxf>
    <dxf>
      <fill>
        <patternFill patternType="solid"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CC"/>
      <color rgb="FF0000FF"/>
      <color rgb="FF0CDFE4"/>
      <color rgb="FFFFFF9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attachedToolbars" Target="attachedToolbars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22</xdr:row>
      <xdr:rowOff>0</xdr:rowOff>
    </xdr:from>
    <xdr:to>
      <xdr:col>1</xdr:col>
      <xdr:colOff>428625</xdr:colOff>
      <xdr:row>22</xdr:row>
      <xdr:rowOff>0</xdr:rowOff>
    </xdr:to>
    <xdr:sp macro="" textlink="">
      <xdr:nvSpPr>
        <xdr:cNvPr id="2" name="Text 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95300" y="8610600"/>
          <a:ext cx="40957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未</a:t>
          </a:r>
        </a:p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使用</a:t>
          </a:r>
        </a:p>
      </xdr:txBody>
    </xdr:sp>
    <xdr:clientData/>
  </xdr:twoCellAnchor>
  <xdr:twoCellAnchor>
    <xdr:from>
      <xdr:col>1</xdr:col>
      <xdr:colOff>19050</xdr:colOff>
      <xdr:row>22</xdr:row>
      <xdr:rowOff>0</xdr:rowOff>
    </xdr:from>
    <xdr:to>
      <xdr:col>1</xdr:col>
      <xdr:colOff>428625</xdr:colOff>
      <xdr:row>22</xdr:row>
      <xdr:rowOff>0</xdr:rowOff>
    </xdr:to>
    <xdr:sp macro="" textlink="">
      <xdr:nvSpPr>
        <xdr:cNvPr id="3" name="Text 1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495300" y="8610600"/>
          <a:ext cx="40957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未</a:t>
          </a:r>
        </a:p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工事</a:t>
          </a:r>
        </a:p>
      </xdr:txBody>
    </xdr:sp>
    <xdr:clientData/>
  </xdr:twoCellAnchor>
  <xdr:twoCellAnchor>
    <xdr:from>
      <xdr:col>0</xdr:col>
      <xdr:colOff>28575</xdr:colOff>
      <xdr:row>22</xdr:row>
      <xdr:rowOff>0</xdr:rowOff>
    </xdr:from>
    <xdr:to>
      <xdr:col>0</xdr:col>
      <xdr:colOff>209550</xdr:colOff>
      <xdr:row>22</xdr:row>
      <xdr:rowOff>0</xdr:rowOff>
    </xdr:to>
    <xdr:sp macro="" textlink="">
      <xdr:nvSpPr>
        <xdr:cNvPr id="4" name="Text 1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28575" y="8610600"/>
          <a:ext cx="180975" cy="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0</xdr:colOff>
      <xdr:row>14</xdr:row>
      <xdr:rowOff>333375</xdr:rowOff>
    </xdr:from>
    <xdr:to>
      <xdr:col>10</xdr:col>
      <xdr:colOff>0</xdr:colOff>
      <xdr:row>14</xdr:row>
      <xdr:rowOff>333375</xdr:rowOff>
    </xdr:to>
    <xdr:sp macro="" textlink="">
      <xdr:nvSpPr>
        <xdr:cNvPr id="5" name="Line 2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8648700" y="58959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</xdr:col>
      <xdr:colOff>657225</xdr:colOff>
      <xdr:row>4</xdr:row>
      <xdr:rowOff>171450</xdr:rowOff>
    </xdr:from>
    <xdr:to>
      <xdr:col>4</xdr:col>
      <xdr:colOff>733425</xdr:colOff>
      <xdr:row>4</xdr:row>
      <xdr:rowOff>409575</xdr:rowOff>
    </xdr:to>
    <xdr:sp macro="" textlink="">
      <xdr:nvSpPr>
        <xdr:cNvPr id="6" name="Text Box 3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3533775" y="1924050"/>
          <a:ext cx="762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12</xdr:col>
      <xdr:colOff>670892</xdr:colOff>
      <xdr:row>24</xdr:row>
      <xdr:rowOff>182216</xdr:rowOff>
    </xdr:from>
    <xdr:ext cx="2343980" cy="339588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0033967" y="9373841"/>
          <a:ext cx="2343980" cy="339588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r>
            <a:rPr lang="ko-KR" altLang="en-US" sz="1100" b="1"/>
            <a:t>◁ 당일까지 실적</a:t>
          </a:r>
          <a:r>
            <a:rPr lang="en-US" altLang="ko-KR" sz="1100" b="1"/>
            <a:t>(</a:t>
          </a:r>
          <a:r>
            <a:rPr lang="ko-KR" altLang="en-US" sz="1100" b="1"/>
            <a:t>용도변경 적용</a:t>
          </a:r>
          <a:r>
            <a:rPr lang="en-US" altLang="ko-KR" sz="1100" b="1"/>
            <a:t>X)</a:t>
          </a:r>
          <a:endParaRPr lang="ko-KR" altLang="en-US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41413</xdr:colOff>
      <xdr:row>5</xdr:row>
      <xdr:rowOff>0</xdr:rowOff>
    </xdr:from>
    <xdr:to>
      <xdr:col>2</xdr:col>
      <xdr:colOff>31640</xdr:colOff>
      <xdr:row>6</xdr:row>
      <xdr:rowOff>304800</xdr:rowOff>
    </xdr:to>
    <xdr:cxnSp macro="">
      <xdr:nvCxnSpPr>
        <xdr:cNvPr id="8" name="직선 연결선 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>
          <a:cxnSpLocks noChangeShapeType="1"/>
        </xdr:cNvCxnSpPr>
      </xdr:nvCxnSpPr>
      <xdr:spPr bwMode="auto">
        <a:xfrm>
          <a:off x="41413" y="1548848"/>
          <a:ext cx="768792" cy="627822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25</xdr:col>
      <xdr:colOff>530087</xdr:colOff>
      <xdr:row>14</xdr:row>
      <xdr:rowOff>33130</xdr:rowOff>
    </xdr:from>
    <xdr:to>
      <xdr:col>26</xdr:col>
      <xdr:colOff>331304</xdr:colOff>
      <xdr:row>15</xdr:row>
      <xdr:rowOff>33131</xdr:rowOff>
    </xdr:to>
    <xdr:sp macro="" textlink="">
      <xdr:nvSpPr>
        <xdr:cNvPr id="4" name="자유형 411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/>
        </xdr:cNvSpPr>
      </xdr:nvSpPr>
      <xdr:spPr bwMode="auto">
        <a:xfrm flipH="1">
          <a:off x="14088717" y="4563717"/>
          <a:ext cx="579783" cy="323023"/>
        </a:xfrm>
        <a:custGeom>
          <a:avLst/>
          <a:gdLst>
            <a:gd name="T0" fmla="*/ 0 w 733425"/>
            <a:gd name="T1" fmla="*/ 0 h 323850"/>
            <a:gd name="T2" fmla="*/ 0 w 733425"/>
            <a:gd name="T3" fmla="*/ 323022 h 323850"/>
            <a:gd name="T4" fmla="*/ 730526 w 733425"/>
            <a:gd name="T5" fmla="*/ 323022 h 323850"/>
            <a:gd name="T6" fmla="*/ 730526 w 733425"/>
            <a:gd name="T7" fmla="*/ 47503 h 323850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733425" h="323850">
              <a:moveTo>
                <a:pt x="0" y="0"/>
              </a:moveTo>
              <a:lnTo>
                <a:pt x="0" y="323850"/>
              </a:lnTo>
              <a:lnTo>
                <a:pt x="733425" y="323850"/>
              </a:lnTo>
              <a:lnTo>
                <a:pt x="733425" y="47625"/>
              </a:lnTo>
            </a:path>
          </a:pathLst>
        </a:custGeom>
        <a:noFill/>
        <a:ln w="222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405848</xdr:colOff>
      <xdr:row>14</xdr:row>
      <xdr:rowOff>41413</xdr:rowOff>
    </xdr:from>
    <xdr:to>
      <xdr:col>27</xdr:col>
      <xdr:colOff>281609</xdr:colOff>
      <xdr:row>15</xdr:row>
      <xdr:rowOff>24847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4743044" y="4572000"/>
          <a:ext cx="654326" cy="306456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/>
            <a:t>값 복사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22455</xdr:colOff>
          <xdr:row>0</xdr:row>
          <xdr:rowOff>47625</xdr:rowOff>
        </xdr:from>
        <xdr:to>
          <xdr:col>15</xdr:col>
          <xdr:colOff>457201</xdr:colOff>
          <xdr:row>4</xdr:row>
          <xdr:rowOff>251459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결재란!$D$6:$G$9" spid="_x0000_s1584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108930" y="47625"/>
              <a:ext cx="2568346" cy="142303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130997</xdr:colOff>
          <xdr:row>14</xdr:row>
          <xdr:rowOff>67011</xdr:rowOff>
        </xdr:from>
        <xdr:to>
          <xdr:col>6</xdr:col>
          <xdr:colOff>898712</xdr:colOff>
          <xdr:row>15</xdr:row>
          <xdr:rowOff>40341</xdr:rowOff>
        </xdr:to>
        <xdr:pic>
          <xdr:nvPicPr>
            <xdr:cNvPr id="74510" name="Picture 292">
              <a:extLst>
                <a:ext uri="{FF2B5EF4-FFF2-40B4-BE49-F238E27FC236}">
                  <a16:creationId xmlns:a16="http://schemas.microsoft.com/office/drawing/2014/main" id="{00000000-0008-0000-0200-00000E2301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Y$5" spid="_x0000_s1695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941247" y="4762836"/>
              <a:ext cx="767715" cy="278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1228725</xdr:colOff>
      <xdr:row>0</xdr:row>
      <xdr:rowOff>0</xdr:rowOff>
    </xdr:from>
    <xdr:to>
      <xdr:col>4</xdr:col>
      <xdr:colOff>73448</xdr:colOff>
      <xdr:row>0</xdr:row>
      <xdr:rowOff>287655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3105150" y="1219200"/>
          <a:ext cx="10477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1228725</xdr:colOff>
      <xdr:row>0</xdr:row>
      <xdr:rowOff>0</xdr:rowOff>
    </xdr:from>
    <xdr:to>
      <xdr:col>4</xdr:col>
      <xdr:colOff>73448</xdr:colOff>
      <xdr:row>0</xdr:row>
      <xdr:rowOff>287655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3105150" y="0"/>
          <a:ext cx="10477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21</xdr:row>
      <xdr:rowOff>123825</xdr:rowOff>
    </xdr:from>
    <xdr:to>
      <xdr:col>17</xdr:col>
      <xdr:colOff>323850</xdr:colOff>
      <xdr:row>48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877050" y="5476875"/>
          <a:ext cx="7400925" cy="4638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이제 존재하지 않음</a:t>
          </a:r>
          <a:r>
            <a:rPr lang="en-US" altLang="ko-KR" sz="1100"/>
            <a:t>,</a:t>
          </a:r>
          <a:endParaRPr lang="en-US" altLang="ko-KR" sz="1100" baseline="0"/>
        </a:p>
        <a:p>
          <a:endParaRPr lang="ko-KR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../../&#45824;&#49457;&#50640;&#45320;&#51648;/&#47560;&#52992;&#54021;&#44592;&#54925;&#54016;/(&#44396;)&#50689;&#50629;&#54788;&#54889;/2026&#45380;%207&#50900;/&#50689;&#50629;&#54788;&#54889;_202607.xlsx" TargetMode="External"/><Relationship Id="rId1" Type="http://schemas.openxmlformats.org/officeDocument/2006/relationships/externalLinkPath" Target="/&#45824;&#49457;&#50640;&#45320;&#51648;/&#47560;&#52992;&#54021;&#44592;&#54925;&#54016;/(&#44396;)&#50689;&#50629;&#54788;&#54889;/2026&#45380;%207&#50900;/&#50689;&#50629;&#54788;&#54889;_20260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영업현황"/>
      <sheetName val="월별실적누계관리"/>
      <sheetName val="과거_계약전"/>
      <sheetName val="타깃_계약전"/>
      <sheetName val="과거_시설전"/>
      <sheetName val="타깃_시설전"/>
      <sheetName val="과거_공급전"/>
      <sheetName val="타깃_공급전"/>
      <sheetName val="용도변경"/>
      <sheetName val="공급전계획"/>
    </sheetNames>
    <sheetDataSet>
      <sheetData sheetId="0">
        <row r="2">
          <cell r="A2">
            <v>46234</v>
          </cell>
        </row>
        <row r="5">
          <cell r="C5">
            <v>829782</v>
          </cell>
          <cell r="D5">
            <v>519195</v>
          </cell>
          <cell r="E5">
            <v>1348977</v>
          </cell>
          <cell r="F5">
            <v>30956</v>
          </cell>
          <cell r="G5">
            <v>12073</v>
          </cell>
          <cell r="H5">
            <v>1574</v>
          </cell>
          <cell r="I5">
            <v>47</v>
          </cell>
          <cell r="J5">
            <v>1393627</v>
          </cell>
        </row>
        <row r="6">
          <cell r="C6">
            <v>32361</v>
          </cell>
          <cell r="D6">
            <v>41676</v>
          </cell>
          <cell r="E6">
            <v>74037</v>
          </cell>
          <cell r="F6">
            <v>5145</v>
          </cell>
          <cell r="G6">
            <v>2475</v>
          </cell>
          <cell r="H6">
            <v>761</v>
          </cell>
          <cell r="I6">
            <v>26</v>
          </cell>
          <cell r="J6">
            <v>82444</v>
          </cell>
        </row>
        <row r="7">
          <cell r="C7">
            <v>32526</v>
          </cell>
          <cell r="D7">
            <v>42314</v>
          </cell>
          <cell r="E7">
            <v>74840</v>
          </cell>
          <cell r="F7">
            <v>5190</v>
          </cell>
          <cell r="G7">
            <v>2490</v>
          </cell>
          <cell r="H7">
            <v>762</v>
          </cell>
          <cell r="I7">
            <v>26</v>
          </cell>
          <cell r="J7">
            <v>83308</v>
          </cell>
        </row>
        <row r="8">
          <cell r="C8">
            <v>165</v>
          </cell>
          <cell r="D8">
            <v>638</v>
          </cell>
          <cell r="E8">
            <v>803</v>
          </cell>
          <cell r="F8">
            <v>45</v>
          </cell>
          <cell r="G8">
            <v>15</v>
          </cell>
          <cell r="H8">
            <v>1</v>
          </cell>
          <cell r="I8">
            <v>0</v>
          </cell>
          <cell r="J8">
            <v>864</v>
          </cell>
        </row>
        <row r="9">
          <cell r="C9">
            <v>-165</v>
          </cell>
          <cell r="D9">
            <v>-424</v>
          </cell>
          <cell r="E9">
            <v>-589</v>
          </cell>
          <cell r="F9">
            <v>10</v>
          </cell>
          <cell r="G9">
            <v>8</v>
          </cell>
          <cell r="H9">
            <v>-1</v>
          </cell>
          <cell r="I9">
            <v>0</v>
          </cell>
          <cell r="J9">
            <v>-572</v>
          </cell>
        </row>
        <row r="10">
          <cell r="C10">
            <v>829617</v>
          </cell>
          <cell r="D10">
            <v>518771</v>
          </cell>
          <cell r="E10">
            <v>1348388</v>
          </cell>
          <cell r="F10">
            <v>30966</v>
          </cell>
          <cell r="G10">
            <v>12081</v>
          </cell>
          <cell r="H10">
            <v>1573</v>
          </cell>
          <cell r="I10">
            <v>47</v>
          </cell>
          <cell r="J10">
            <v>1393055</v>
          </cell>
        </row>
        <row r="11">
          <cell r="C11">
            <v>828649</v>
          </cell>
          <cell r="D11">
            <v>509901</v>
          </cell>
          <cell r="E11">
            <v>1338550</v>
          </cell>
          <cell r="F11">
            <v>33481</v>
          </cell>
          <cell r="G11">
            <v>14590</v>
          </cell>
          <cell r="H11">
            <v>1526</v>
          </cell>
          <cell r="I11">
            <v>128</v>
          </cell>
          <cell r="J11">
            <v>1388275</v>
          </cell>
        </row>
        <row r="15">
          <cell r="C15">
            <v>191</v>
          </cell>
          <cell r="D15">
            <v>-520</v>
          </cell>
          <cell r="E15">
            <v>-329</v>
          </cell>
          <cell r="F15">
            <v>43</v>
          </cell>
          <cell r="G15">
            <v>5</v>
          </cell>
          <cell r="H15">
            <v>0</v>
          </cell>
          <cell r="I15">
            <v>1</v>
          </cell>
          <cell r="J15">
            <v>-280</v>
          </cell>
        </row>
        <row r="16">
          <cell r="C16">
            <v>828840</v>
          </cell>
          <cell r="D16">
            <v>509381</v>
          </cell>
          <cell r="E16">
            <v>1338221</v>
          </cell>
          <cell r="F16">
            <v>33524</v>
          </cell>
          <cell r="G16">
            <v>14595</v>
          </cell>
          <cell r="H16">
            <v>1526</v>
          </cell>
          <cell r="I16">
            <v>129</v>
          </cell>
          <cell r="J16">
            <v>1387995</v>
          </cell>
        </row>
        <row r="17">
          <cell r="C17">
            <v>815565</v>
          </cell>
          <cell r="D17">
            <v>504596</v>
          </cell>
          <cell r="E17">
            <v>1320161</v>
          </cell>
          <cell r="F17">
            <v>28895</v>
          </cell>
          <cell r="G17">
            <v>14175</v>
          </cell>
          <cell r="H17">
            <v>1453</v>
          </cell>
          <cell r="I17">
            <v>123</v>
          </cell>
          <cell r="J17">
            <v>1364807</v>
          </cell>
        </row>
        <row r="19">
          <cell r="C19">
            <v>3</v>
          </cell>
          <cell r="D19">
            <v>-27</v>
          </cell>
          <cell r="E19">
            <v>-24</v>
          </cell>
          <cell r="F19">
            <v>25</v>
          </cell>
          <cell r="G19">
            <v>-2</v>
          </cell>
          <cell r="H19">
            <v>0</v>
          </cell>
          <cell r="I19">
            <v>1</v>
          </cell>
          <cell r="J19">
            <v>0</v>
          </cell>
        </row>
        <row r="20">
          <cell r="C20">
            <v>165</v>
          </cell>
          <cell r="D20">
            <v>638</v>
          </cell>
          <cell r="E20">
            <v>803</v>
          </cell>
          <cell r="F20">
            <v>45</v>
          </cell>
          <cell r="G20">
            <v>15</v>
          </cell>
          <cell r="H20">
            <v>1</v>
          </cell>
          <cell r="I20">
            <v>0</v>
          </cell>
          <cell r="J20">
            <v>864</v>
          </cell>
        </row>
        <row r="21">
          <cell r="C21">
            <v>800</v>
          </cell>
          <cell r="D21">
            <v>-267</v>
          </cell>
          <cell r="E21">
            <v>533</v>
          </cell>
          <cell r="F21">
            <v>41</v>
          </cell>
          <cell r="G21">
            <v>7</v>
          </cell>
          <cell r="H21">
            <v>1</v>
          </cell>
          <cell r="I21">
            <v>0</v>
          </cell>
          <cell r="J21">
            <v>582</v>
          </cell>
        </row>
        <row r="22">
          <cell r="C22">
            <v>816365</v>
          </cell>
          <cell r="D22">
            <v>504329</v>
          </cell>
          <cell r="E22">
            <v>1320694</v>
          </cell>
          <cell r="F22">
            <v>28936</v>
          </cell>
          <cell r="G22">
            <v>14182</v>
          </cell>
          <cell r="H22">
            <v>1454</v>
          </cell>
          <cell r="I22">
            <v>123</v>
          </cell>
          <cell r="J22">
            <v>1365389</v>
          </cell>
        </row>
        <row r="27">
          <cell r="C27">
            <v>920</v>
          </cell>
          <cell r="D27">
            <v>141</v>
          </cell>
          <cell r="F27">
            <v>55</v>
          </cell>
          <cell r="G27">
            <v>26</v>
          </cell>
          <cell r="H27">
            <v>0</v>
          </cell>
          <cell r="I27">
            <v>0</v>
          </cell>
        </row>
        <row r="32">
          <cell r="C32">
            <v>0</v>
          </cell>
          <cell r="D32">
            <v>-36</v>
          </cell>
          <cell r="F32">
            <v>-10</v>
          </cell>
          <cell r="G32">
            <v>-12</v>
          </cell>
          <cell r="H32">
            <v>0</v>
          </cell>
          <cell r="I32">
            <v>0</v>
          </cell>
        </row>
        <row r="33">
          <cell r="C33">
            <v>3</v>
          </cell>
          <cell r="D33">
            <v>9</v>
          </cell>
          <cell r="F33">
            <v>35</v>
          </cell>
          <cell r="G33">
            <v>10</v>
          </cell>
          <cell r="H33">
            <v>0</v>
          </cell>
          <cell r="I33">
            <v>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  <pageSetUpPr fitToPage="1"/>
  </sheetPr>
  <dimension ref="A1:Y38"/>
  <sheetViews>
    <sheetView topLeftCell="A7" workbookViewId="0">
      <selection activeCell="L29" sqref="L29"/>
    </sheetView>
  </sheetViews>
  <sheetFormatPr defaultColWidth="9" defaultRowHeight="14.25" x14ac:dyDescent="0.15"/>
  <cols>
    <col min="1" max="2" width="6.25" style="2" customWidth="1"/>
    <col min="3" max="4" width="12" style="2" customWidth="1"/>
    <col min="5" max="5" width="12.75" style="2" bestFit="1" customWidth="1"/>
    <col min="6" max="9" width="12" style="2" customWidth="1"/>
    <col min="10" max="10" width="12.75" style="2" bestFit="1" customWidth="1"/>
    <col min="11" max="11" width="1.5" style="2" customWidth="1"/>
    <col min="12" max="12" width="7.875" style="243" customWidth="1"/>
    <col min="13" max="13" width="12.75" style="2" bestFit="1" customWidth="1"/>
    <col min="14" max="14" width="16.875" style="2" customWidth="1"/>
    <col min="15" max="15" width="12.75" style="2" bestFit="1" customWidth="1"/>
    <col min="16" max="17" width="9" style="2"/>
    <col min="18" max="18" width="9.625" style="2" customWidth="1"/>
    <col min="19" max="16384" width="9" style="2"/>
  </cols>
  <sheetData>
    <row r="1" spans="1:19" ht="35.25" customHeight="1" x14ac:dyDescent="0.15">
      <c r="A1" s="411" t="s">
        <v>279</v>
      </c>
      <c r="B1" s="35"/>
      <c r="C1" s="35"/>
      <c r="D1" s="35"/>
      <c r="E1" s="35"/>
      <c r="F1" s="35"/>
      <c r="G1" s="35"/>
      <c r="H1" s="35"/>
      <c r="I1" s="35"/>
      <c r="J1" s="35"/>
    </row>
    <row r="2" spans="1:19" ht="42.75" customHeight="1" thickBot="1" x14ac:dyDescent="0.2">
      <c r="A2" s="34">
        <f>[1]영업현황!$A$2</f>
        <v>46234</v>
      </c>
      <c r="B2" s="168"/>
      <c r="C2" s="3"/>
      <c r="D2" s="3"/>
      <c r="E2" s="83"/>
      <c r="F2" s="199"/>
      <c r="G2" s="3"/>
      <c r="H2" s="3"/>
      <c r="I2" s="3"/>
      <c r="J2" s="3"/>
    </row>
    <row r="3" spans="1:19" s="20" customFormat="1" ht="30" customHeight="1" x14ac:dyDescent="0.15">
      <c r="A3" s="822" t="s">
        <v>75</v>
      </c>
      <c r="B3" s="823"/>
      <c r="C3" s="46" t="s">
        <v>76</v>
      </c>
      <c r="D3" s="44"/>
      <c r="E3" s="44"/>
      <c r="F3" s="826" t="s">
        <v>77</v>
      </c>
      <c r="G3" s="826" t="s">
        <v>78</v>
      </c>
      <c r="H3" s="826" t="s">
        <v>1</v>
      </c>
      <c r="I3" s="828" t="s">
        <v>79</v>
      </c>
      <c r="J3" s="820" t="s">
        <v>80</v>
      </c>
      <c r="L3" s="245"/>
    </row>
    <row r="4" spans="1:19" s="20" customFormat="1" ht="30" customHeight="1" thickBot="1" x14ac:dyDescent="0.2">
      <c r="A4" s="824"/>
      <c r="B4" s="825"/>
      <c r="C4" s="47" t="s">
        <v>81</v>
      </c>
      <c r="D4" s="45" t="s">
        <v>82</v>
      </c>
      <c r="E4" s="45" t="s">
        <v>2</v>
      </c>
      <c r="F4" s="827"/>
      <c r="G4" s="827"/>
      <c r="H4" s="827"/>
      <c r="I4" s="827"/>
      <c r="J4" s="821"/>
      <c r="L4" s="245"/>
    </row>
    <row r="5" spans="1:19" s="20" customFormat="1" ht="33" customHeight="1" thickTop="1" x14ac:dyDescent="0.15">
      <c r="A5" s="843" t="s">
        <v>83</v>
      </c>
      <c r="B5" s="54" t="s">
        <v>84</v>
      </c>
      <c r="C5" s="48">
        <f>[1]영업현황!C5</f>
        <v>829782</v>
      </c>
      <c r="D5" s="36">
        <f>[1]영업현황!D5</f>
        <v>519195</v>
      </c>
      <c r="E5" s="37">
        <f>[1]영업현황!E5</f>
        <v>1348977</v>
      </c>
      <c r="F5" s="36">
        <f>[1]영업현황!F5</f>
        <v>30956</v>
      </c>
      <c r="G5" s="36">
        <f>[1]영업현황!G5</f>
        <v>12073</v>
      </c>
      <c r="H5" s="36">
        <f>[1]영업현황!H5</f>
        <v>1574</v>
      </c>
      <c r="I5" s="36">
        <f>[1]영업현황!I5</f>
        <v>47</v>
      </c>
      <c r="J5" s="38">
        <f>[1]영업현황!J5</f>
        <v>1393627</v>
      </c>
      <c r="K5" s="20">
        <v>0</v>
      </c>
      <c r="L5" s="246">
        <f>MONTH(A2)-1</f>
        <v>6</v>
      </c>
      <c r="M5" s="247" t="s">
        <v>310</v>
      </c>
      <c r="N5" s="248"/>
    </row>
    <row r="6" spans="1:19" s="20" customFormat="1" ht="33" customHeight="1" x14ac:dyDescent="0.15">
      <c r="A6" s="831"/>
      <c r="B6" s="204" t="s">
        <v>85</v>
      </c>
      <c r="C6" s="205">
        <f>[1]영업현황!C6</f>
        <v>32361</v>
      </c>
      <c r="D6" s="206">
        <f>[1]영업현황!D6</f>
        <v>41676</v>
      </c>
      <c r="E6" s="207">
        <f>[1]영업현황!E6</f>
        <v>74037</v>
      </c>
      <c r="F6" s="207">
        <f>[1]영업현황!F6</f>
        <v>5145</v>
      </c>
      <c r="G6" s="207">
        <f>[1]영업현황!G6</f>
        <v>2475</v>
      </c>
      <c r="H6" s="207">
        <f>[1]영업현황!H6</f>
        <v>761</v>
      </c>
      <c r="I6" s="207">
        <f>[1]영업현황!I6</f>
        <v>26</v>
      </c>
      <c r="J6" s="208">
        <f>[1]영업현황!J6</f>
        <v>82444</v>
      </c>
      <c r="L6" s="246">
        <f>L5</f>
        <v>6</v>
      </c>
      <c r="M6" s="247" t="s">
        <v>311</v>
      </c>
      <c r="N6" s="248"/>
    </row>
    <row r="7" spans="1:19" s="20" customFormat="1" ht="33" customHeight="1" x14ac:dyDescent="0.15">
      <c r="A7" s="831"/>
      <c r="B7" s="204" t="s">
        <v>86</v>
      </c>
      <c r="C7" s="205">
        <f>[1]영업현황!C7</f>
        <v>32526</v>
      </c>
      <c r="D7" s="209">
        <f>[1]영업현황!D7</f>
        <v>42314</v>
      </c>
      <c r="E7" s="207">
        <f>[1]영업현황!E7</f>
        <v>74840</v>
      </c>
      <c r="F7" s="207">
        <f>[1]영업현황!F7</f>
        <v>5190</v>
      </c>
      <c r="G7" s="210">
        <f>[1]영업현황!G7</f>
        <v>2490</v>
      </c>
      <c r="H7" s="211">
        <f>[1]영업현황!H7</f>
        <v>762</v>
      </c>
      <c r="I7" s="207">
        <f>[1]영업현황!I7</f>
        <v>26</v>
      </c>
      <c r="J7" s="208">
        <f>[1]영업현황!J7</f>
        <v>83308</v>
      </c>
      <c r="L7" s="448">
        <f>A2</f>
        <v>46234</v>
      </c>
      <c r="M7" s="249" t="s">
        <v>312</v>
      </c>
      <c r="N7" s="250"/>
    </row>
    <row r="8" spans="1:19" s="20" customFormat="1" ht="33" customHeight="1" x14ac:dyDescent="0.15">
      <c r="A8" s="831"/>
      <c r="B8" s="204" t="s">
        <v>300</v>
      </c>
      <c r="C8" s="251">
        <f>[1]영업현황!C8</f>
        <v>165</v>
      </c>
      <c r="D8" s="252">
        <f>[1]영업현황!D8</f>
        <v>638</v>
      </c>
      <c r="E8" s="253">
        <f>[1]영업현황!E8</f>
        <v>803</v>
      </c>
      <c r="F8" s="253">
        <f>[1]영업현황!F8</f>
        <v>45</v>
      </c>
      <c r="G8" s="253">
        <f>[1]영업현황!G8</f>
        <v>15</v>
      </c>
      <c r="H8" s="253">
        <f>[1]영업현황!H8</f>
        <v>1</v>
      </c>
      <c r="I8" s="253">
        <f>[1]영업현황!I8</f>
        <v>0</v>
      </c>
      <c r="J8" s="254">
        <f>[1]영업현황!J8</f>
        <v>864</v>
      </c>
      <c r="L8" s="245"/>
      <c r="M8" s="114"/>
    </row>
    <row r="9" spans="1:19" s="20" customFormat="1" ht="33" customHeight="1" x14ac:dyDescent="0.15">
      <c r="A9" s="831"/>
      <c r="B9" s="212" t="s">
        <v>87</v>
      </c>
      <c r="C9" s="119">
        <f>[1]영업현황!C9</f>
        <v>-165</v>
      </c>
      <c r="D9" s="120">
        <f>[1]영업현황!D9</f>
        <v>-424</v>
      </c>
      <c r="E9" s="121">
        <f>[1]영업현황!E9</f>
        <v>-589</v>
      </c>
      <c r="F9" s="120">
        <f>[1]영업현황!F9</f>
        <v>10</v>
      </c>
      <c r="G9" s="120">
        <f>[1]영업현황!G9</f>
        <v>8</v>
      </c>
      <c r="H9" s="120">
        <f>[1]영업현황!H9</f>
        <v>-1</v>
      </c>
      <c r="I9" s="120">
        <f>[1]영업현황!I9</f>
        <v>0</v>
      </c>
      <c r="J9" s="122">
        <f>[1]영업현황!J9</f>
        <v>-572</v>
      </c>
      <c r="L9" s="255"/>
      <c r="M9" s="829" t="s">
        <v>313</v>
      </c>
      <c r="N9" s="829"/>
    </row>
    <row r="10" spans="1:19" s="20" customFormat="1" ht="33" customHeight="1" thickBot="1" x14ac:dyDescent="0.2">
      <c r="A10" s="832"/>
      <c r="B10" s="55" t="s">
        <v>88</v>
      </c>
      <c r="C10" s="50">
        <f>[1]영업현황!C10</f>
        <v>829617</v>
      </c>
      <c r="D10" s="29">
        <f>[1]영업현황!D10</f>
        <v>518771</v>
      </c>
      <c r="E10" s="32">
        <f>[1]영업현황!E10</f>
        <v>1348388</v>
      </c>
      <c r="F10" s="30">
        <f>[1]영업현황!F10</f>
        <v>30966</v>
      </c>
      <c r="G10" s="30">
        <f>[1]영업현황!G10</f>
        <v>12081</v>
      </c>
      <c r="H10" s="30">
        <f>[1]영업현황!H10</f>
        <v>1573</v>
      </c>
      <c r="I10" s="30">
        <f>[1]영업현황!I10</f>
        <v>47</v>
      </c>
      <c r="J10" s="31">
        <f>[1]영업현황!J10</f>
        <v>1393055</v>
      </c>
      <c r="K10" s="20">
        <v>13</v>
      </c>
      <c r="L10" s="448">
        <f>L7</f>
        <v>46234</v>
      </c>
      <c r="M10" s="249" t="s">
        <v>350</v>
      </c>
      <c r="N10" s="250"/>
      <c r="O10" s="28"/>
    </row>
    <row r="11" spans="1:19" s="20" customFormat="1" ht="33" customHeight="1" x14ac:dyDescent="0.15">
      <c r="A11" s="830" t="s">
        <v>89</v>
      </c>
      <c r="B11" s="56" t="s">
        <v>84</v>
      </c>
      <c r="C11" s="51">
        <f>[1]영업현황!C11</f>
        <v>828649</v>
      </c>
      <c r="D11" s="39">
        <f>[1]영업현황!D11</f>
        <v>509901</v>
      </c>
      <c r="E11" s="39">
        <f>[1]영업현황!E11</f>
        <v>1338550</v>
      </c>
      <c r="F11" s="40">
        <f>[1]영업현황!F11</f>
        <v>33481</v>
      </c>
      <c r="G11" s="40">
        <f>[1]영업현황!G11</f>
        <v>14590</v>
      </c>
      <c r="H11" s="40">
        <f>[1]영업현황!H11</f>
        <v>1526</v>
      </c>
      <c r="I11" s="40">
        <f>[1]영업현황!I11</f>
        <v>128</v>
      </c>
      <c r="J11" s="41">
        <f>[1]영업현황!J11</f>
        <v>1388275</v>
      </c>
      <c r="L11" s="246">
        <f>L5</f>
        <v>6</v>
      </c>
      <c r="M11" s="247" t="s">
        <v>351</v>
      </c>
      <c r="N11" s="248"/>
    </row>
    <row r="12" spans="1:19" s="20" customFormat="1" ht="33" customHeight="1" x14ac:dyDescent="0.15">
      <c r="A12" s="831"/>
      <c r="B12" s="833" t="s">
        <v>90</v>
      </c>
      <c r="C12" s="52"/>
      <c r="D12" s="22"/>
      <c r="E12" s="23"/>
      <c r="F12" s="24"/>
      <c r="G12" s="21"/>
      <c r="H12" s="27"/>
      <c r="I12" s="27"/>
      <c r="J12" s="213"/>
      <c r="L12" s="245"/>
      <c r="M12" s="114"/>
    </row>
    <row r="13" spans="1:19" s="20" customFormat="1" ht="33" customHeight="1" x14ac:dyDescent="0.15">
      <c r="A13" s="831"/>
      <c r="B13" s="834" t="s">
        <v>33</v>
      </c>
      <c r="C13" s="49"/>
      <c r="D13" s="22"/>
      <c r="E13" s="25"/>
      <c r="F13" s="24"/>
      <c r="G13" s="26"/>
      <c r="H13" s="27"/>
      <c r="I13" s="214"/>
      <c r="J13" s="562"/>
      <c r="L13" s="245"/>
      <c r="M13" s="114"/>
    </row>
    <row r="14" spans="1:19" s="20" customFormat="1" ht="33" customHeight="1" x14ac:dyDescent="0.15">
      <c r="A14" s="831"/>
      <c r="B14" s="835" t="s">
        <v>34</v>
      </c>
      <c r="C14" s="215"/>
      <c r="D14" s="216"/>
      <c r="E14" s="217"/>
      <c r="F14" s="217"/>
      <c r="G14" s="217"/>
      <c r="H14" s="217"/>
      <c r="I14" s="217"/>
      <c r="J14" s="218"/>
      <c r="L14" s="245"/>
      <c r="M14" s="114"/>
    </row>
    <row r="15" spans="1:19" s="20" customFormat="1" ht="33" customHeight="1" x14ac:dyDescent="0.15">
      <c r="A15" s="831"/>
      <c r="B15" s="219" t="s">
        <v>87</v>
      </c>
      <c r="C15" s="119">
        <f>[1]영업현황!C15</f>
        <v>191</v>
      </c>
      <c r="D15" s="120">
        <f>[1]영업현황!D15</f>
        <v>-520</v>
      </c>
      <c r="E15" s="121">
        <f>[1]영업현황!E15</f>
        <v>-329</v>
      </c>
      <c r="F15" s="120">
        <f>[1]영업현황!F15</f>
        <v>43</v>
      </c>
      <c r="G15" s="120">
        <f>[1]영업현황!G15</f>
        <v>5</v>
      </c>
      <c r="H15" s="120">
        <f>[1]영업현황!H15</f>
        <v>0</v>
      </c>
      <c r="I15" s="120">
        <f>[1]영업현황!I15</f>
        <v>1</v>
      </c>
      <c r="J15" s="122">
        <f>[1]영업현황!J15</f>
        <v>-280</v>
      </c>
      <c r="L15" s="255"/>
      <c r="M15" s="829" t="s">
        <v>314</v>
      </c>
      <c r="N15" s="829"/>
      <c r="O15" s="183"/>
      <c r="P15" s="183"/>
      <c r="Q15" s="183"/>
      <c r="R15" s="183"/>
      <c r="S15" s="183"/>
    </row>
    <row r="16" spans="1:19" s="20" customFormat="1" ht="33" customHeight="1" thickBot="1" x14ac:dyDescent="0.2">
      <c r="A16" s="832"/>
      <c r="B16" s="57" t="s">
        <v>0</v>
      </c>
      <c r="C16" s="53">
        <f>[1]영업현황!C16</f>
        <v>828840</v>
      </c>
      <c r="D16" s="32">
        <f>[1]영업현황!D16</f>
        <v>509381</v>
      </c>
      <c r="E16" s="32">
        <f>[1]영업현황!E16</f>
        <v>1338221</v>
      </c>
      <c r="F16" s="30">
        <f>[1]영업현황!F16</f>
        <v>33524</v>
      </c>
      <c r="G16" s="30">
        <f>[1]영업현황!G16</f>
        <v>14595</v>
      </c>
      <c r="H16" s="30">
        <f>[1]영업현황!H16</f>
        <v>1526</v>
      </c>
      <c r="I16" s="29">
        <f>[1]영업현황!I16</f>
        <v>129</v>
      </c>
      <c r="J16" s="33">
        <f>[1]영업현황!J16</f>
        <v>1387995</v>
      </c>
      <c r="K16" s="28"/>
      <c r="L16" s="448">
        <f>A2</f>
        <v>46234</v>
      </c>
      <c r="M16" s="249" t="s">
        <v>315</v>
      </c>
      <c r="N16" s="250"/>
      <c r="O16" s="183"/>
      <c r="P16" s="183"/>
      <c r="Q16" s="183"/>
      <c r="R16" s="183"/>
      <c r="S16" s="183"/>
    </row>
    <row r="17" spans="1:25" s="20" customFormat="1" ht="33" customHeight="1" x14ac:dyDescent="0.15">
      <c r="A17" s="830" t="s">
        <v>91</v>
      </c>
      <c r="B17" s="58" t="s">
        <v>84</v>
      </c>
      <c r="C17" s="51">
        <f>[1]영업현황!C17</f>
        <v>815565</v>
      </c>
      <c r="D17" s="39">
        <f>[1]영업현황!D17</f>
        <v>504596</v>
      </c>
      <c r="E17" s="39">
        <f>[1]영업현황!E17</f>
        <v>1320161</v>
      </c>
      <c r="F17" s="42">
        <f>[1]영업현황!F17</f>
        <v>28895</v>
      </c>
      <c r="G17" s="42">
        <f>[1]영업현황!G17</f>
        <v>14175</v>
      </c>
      <c r="H17" s="42">
        <f>[1]영업현황!H17</f>
        <v>1453</v>
      </c>
      <c r="I17" s="42">
        <f>[1]영업현황!I17</f>
        <v>123</v>
      </c>
      <c r="J17" s="43">
        <f>[1]영업현황!J17</f>
        <v>1364807</v>
      </c>
      <c r="L17" s="246">
        <f>L5</f>
        <v>6</v>
      </c>
      <c r="M17" s="247" t="s">
        <v>316</v>
      </c>
      <c r="N17" s="248"/>
    </row>
    <row r="18" spans="1:25" s="20" customFormat="1" ht="33" customHeight="1" x14ac:dyDescent="0.15">
      <c r="A18" s="831"/>
      <c r="B18" s="220"/>
      <c r="C18" s="563"/>
      <c r="D18" s="564"/>
      <c r="E18" s="564"/>
      <c r="F18" s="565"/>
      <c r="G18" s="564"/>
      <c r="H18" s="564"/>
      <c r="I18" s="564"/>
      <c r="J18" s="566"/>
      <c r="L18" s="245"/>
      <c r="M18" s="114"/>
    </row>
    <row r="19" spans="1:25" s="20" customFormat="1" ht="33" customHeight="1" x14ac:dyDescent="0.15">
      <c r="A19" s="831"/>
      <c r="B19" s="220" t="s">
        <v>92</v>
      </c>
      <c r="C19" s="221">
        <f>[1]영업현황!C19</f>
        <v>3</v>
      </c>
      <c r="D19" s="222">
        <f>[1]영업현황!D19</f>
        <v>-27</v>
      </c>
      <c r="E19" s="223">
        <f>[1]영업현황!E19</f>
        <v>-24</v>
      </c>
      <c r="F19" s="222">
        <f>[1]영업현황!F19</f>
        <v>25</v>
      </c>
      <c r="G19" s="222">
        <f>[1]영업현황!G19</f>
        <v>-2</v>
      </c>
      <c r="H19" s="224">
        <f>[1]영업현황!H19</f>
        <v>0</v>
      </c>
      <c r="I19" s="222">
        <f>[1]영업현황!I19</f>
        <v>1</v>
      </c>
      <c r="J19" s="225">
        <f>[1]영업현황!J19</f>
        <v>0</v>
      </c>
      <c r="L19" s="245"/>
      <c r="M19" s="114"/>
    </row>
    <row r="20" spans="1:25" s="20" customFormat="1" ht="33" customHeight="1" x14ac:dyDescent="0.15">
      <c r="A20" s="831"/>
      <c r="B20" s="232" t="s">
        <v>93</v>
      </c>
      <c r="C20" s="226">
        <f>[1]영업현황!C20</f>
        <v>165</v>
      </c>
      <c r="D20" s="227">
        <f>[1]영업현황!D20</f>
        <v>638</v>
      </c>
      <c r="E20" s="227">
        <f>[1]영업현황!E20</f>
        <v>803</v>
      </c>
      <c r="F20" s="227">
        <f>[1]영업현황!F20</f>
        <v>45</v>
      </c>
      <c r="G20" s="227">
        <f>[1]영업현황!G20</f>
        <v>15</v>
      </c>
      <c r="H20" s="227">
        <f>[1]영업현황!H20</f>
        <v>1</v>
      </c>
      <c r="I20" s="227">
        <f>[1]영업현황!I20</f>
        <v>0</v>
      </c>
      <c r="J20" s="218">
        <f>[1]영업현황!J20</f>
        <v>864</v>
      </c>
      <c r="L20" s="245"/>
      <c r="M20" s="256" t="b">
        <f>EXACT(J20,J8)</f>
        <v>1</v>
      </c>
      <c r="N20" s="193"/>
    </row>
    <row r="21" spans="1:25" s="20" customFormat="1" ht="33" customHeight="1" x14ac:dyDescent="0.15">
      <c r="A21" s="831"/>
      <c r="B21" s="219" t="s">
        <v>94</v>
      </c>
      <c r="C21" s="228">
        <f>[1]영업현황!C21</f>
        <v>800</v>
      </c>
      <c r="D21" s="229">
        <f>[1]영업현황!D21</f>
        <v>-267</v>
      </c>
      <c r="E21" s="230">
        <f>[1]영업현황!E21</f>
        <v>533</v>
      </c>
      <c r="F21" s="229">
        <f>[1]영업현황!F21</f>
        <v>41</v>
      </c>
      <c r="G21" s="229">
        <f>[1]영업현황!G21</f>
        <v>7</v>
      </c>
      <c r="H21" s="231">
        <f>[1]영업현황!H21</f>
        <v>1</v>
      </c>
      <c r="I21" s="229">
        <f>[1]영업현황!I21</f>
        <v>0</v>
      </c>
      <c r="J21" s="122">
        <f>[1]영업현황!J21</f>
        <v>582</v>
      </c>
      <c r="L21" s="255"/>
      <c r="M21" s="829" t="s">
        <v>317</v>
      </c>
      <c r="N21" s="829"/>
    </row>
    <row r="22" spans="1:25" s="20" customFormat="1" ht="33" customHeight="1" thickBot="1" x14ac:dyDescent="0.2">
      <c r="A22" s="832"/>
      <c r="B22" s="57" t="s">
        <v>0</v>
      </c>
      <c r="C22" s="53">
        <f>[1]영업현황!C22</f>
        <v>816365</v>
      </c>
      <c r="D22" s="131">
        <f>[1]영업현황!D22</f>
        <v>504329</v>
      </c>
      <c r="E22" s="32">
        <f>[1]영업현황!E22</f>
        <v>1320694</v>
      </c>
      <c r="F22" s="30">
        <f>[1]영업현황!F22</f>
        <v>28936</v>
      </c>
      <c r="G22" s="30">
        <f>[1]영업현황!G22</f>
        <v>14182</v>
      </c>
      <c r="H22" s="30">
        <f>[1]영업현황!H22</f>
        <v>1454</v>
      </c>
      <c r="I22" s="29">
        <f>[1]영업현황!I22</f>
        <v>123</v>
      </c>
      <c r="J22" s="33">
        <f>[1]영업현황!J22</f>
        <v>1365389</v>
      </c>
      <c r="L22" s="448">
        <f>A2</f>
        <v>46234</v>
      </c>
      <c r="M22" s="836" t="s">
        <v>318</v>
      </c>
      <c r="N22" s="836"/>
      <c r="O22" s="28"/>
    </row>
    <row r="23" spans="1:25" ht="8.25" customHeight="1" x14ac:dyDescent="0.15">
      <c r="A23" s="4"/>
      <c r="B23" s="5"/>
      <c r="C23" s="6"/>
      <c r="D23" s="6"/>
      <c r="E23" s="5"/>
      <c r="F23" s="3"/>
      <c r="G23" s="3"/>
      <c r="H23" s="3"/>
      <c r="I23" s="3"/>
      <c r="J23" s="130"/>
      <c r="N23" s="193"/>
    </row>
    <row r="24" spans="1:25" ht="8.25" customHeight="1" thickBot="1" x14ac:dyDescent="0.2">
      <c r="C24" s="7"/>
      <c r="D24" s="7"/>
      <c r="E24" s="7"/>
      <c r="F24" s="7"/>
      <c r="G24" s="7"/>
      <c r="H24" s="257"/>
      <c r="I24" s="7"/>
      <c r="J24" s="7"/>
      <c r="N24" s="193"/>
    </row>
    <row r="25" spans="1:25" ht="16.5" customHeight="1" x14ac:dyDescent="0.15">
      <c r="A25" s="837" t="s">
        <v>95</v>
      </c>
      <c r="B25" s="838"/>
      <c r="C25" s="441" t="s">
        <v>81</v>
      </c>
      <c r="D25" s="441" t="s">
        <v>82</v>
      </c>
      <c r="E25" s="442" t="s">
        <v>96</v>
      </c>
      <c r="F25" s="441" t="s">
        <v>77</v>
      </c>
      <c r="G25" s="441" t="s">
        <v>78</v>
      </c>
      <c r="H25" s="441" t="s">
        <v>97</v>
      </c>
      <c r="I25" s="443" t="s">
        <v>98</v>
      </c>
      <c r="J25" s="444" t="s">
        <v>96</v>
      </c>
    </row>
    <row r="26" spans="1:25" ht="33.75" customHeight="1" thickBot="1" x14ac:dyDescent="0.2">
      <c r="A26" s="839"/>
      <c r="B26" s="840"/>
      <c r="C26" s="445">
        <f t="shared" ref="C26:J26" si="0">C21+C20-C32</f>
        <v>962</v>
      </c>
      <c r="D26" s="445">
        <f>D21+D20-D32</f>
        <v>398</v>
      </c>
      <c r="E26" s="445">
        <f t="shared" si="0"/>
        <v>1360</v>
      </c>
      <c r="F26" s="445">
        <f t="shared" si="0"/>
        <v>61</v>
      </c>
      <c r="G26" s="445">
        <f t="shared" si="0"/>
        <v>24</v>
      </c>
      <c r="H26" s="445">
        <f>H21+H20-H32</f>
        <v>2</v>
      </c>
      <c r="I26" s="446">
        <f t="shared" si="0"/>
        <v>-1</v>
      </c>
      <c r="J26" s="447">
        <f t="shared" si="0"/>
        <v>1446</v>
      </c>
      <c r="K26" s="203"/>
      <c r="L26" s="258"/>
      <c r="M26" s="203" t="b">
        <f>EXACT(J26,SUM(J20,J21))</f>
        <v>1</v>
      </c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</row>
    <row r="27" spans="1:25" ht="33.75" customHeight="1" x14ac:dyDescent="0.15">
      <c r="A27" s="844" t="s">
        <v>295</v>
      </c>
      <c r="B27" s="844"/>
      <c r="C27" s="452">
        <f>[1]영업현황!C27</f>
        <v>920</v>
      </c>
      <c r="D27" s="452">
        <f>[1]영업현황!D27</f>
        <v>141</v>
      </c>
      <c r="E27" s="440">
        <f>SUM(C27:D27)</f>
        <v>1061</v>
      </c>
      <c r="F27" s="452">
        <f>[1]영업현황!F27</f>
        <v>55</v>
      </c>
      <c r="G27" s="452">
        <f>[1]영업현황!G27</f>
        <v>26</v>
      </c>
      <c r="H27" s="452">
        <f>[1]영업현황!H27</f>
        <v>0</v>
      </c>
      <c r="I27" s="452">
        <f>[1]영업현황!I27</f>
        <v>0</v>
      </c>
      <c r="J27" s="440">
        <f>SUM(E27:I27)</f>
        <v>1142</v>
      </c>
      <c r="N27" s="193"/>
    </row>
    <row r="28" spans="1:25" ht="8.25" customHeight="1" x14ac:dyDescent="0.15">
      <c r="C28" s="7"/>
      <c r="D28" s="7"/>
      <c r="E28" s="7"/>
      <c r="F28" s="7"/>
      <c r="G28" s="7"/>
      <c r="H28" s="7"/>
      <c r="I28" s="7"/>
      <c r="J28" s="7"/>
      <c r="N28" s="193"/>
    </row>
    <row r="29" spans="1:25" ht="8.25" customHeight="1" x14ac:dyDescent="0.15">
      <c r="C29" s="188"/>
    </row>
    <row r="30" spans="1:25" ht="33.75" customHeight="1" x14ac:dyDescent="0.15">
      <c r="A30" s="841" t="s">
        <v>99</v>
      </c>
      <c r="B30" s="842"/>
      <c r="C30" s="259">
        <f>[1]영업현황!C32</f>
        <v>0</v>
      </c>
      <c r="D30" s="259">
        <f>[1]영업현황!D32</f>
        <v>-36</v>
      </c>
      <c r="E30" s="543">
        <f>SUM(C30:D30)</f>
        <v>-36</v>
      </c>
      <c r="F30" s="259">
        <f>[1]영업현황!F32</f>
        <v>-10</v>
      </c>
      <c r="G30" s="259">
        <f>[1]영업현황!G32</f>
        <v>-12</v>
      </c>
      <c r="H30" s="259">
        <f>[1]영업현황!H32</f>
        <v>0</v>
      </c>
      <c r="I30" s="259">
        <f>[1]영업현황!I32</f>
        <v>0</v>
      </c>
      <c r="J30" s="543">
        <f>SUM(E30:I30)</f>
        <v>-58</v>
      </c>
      <c r="K30" s="203"/>
      <c r="L30" s="258"/>
      <c r="N30" s="2" t="s">
        <v>100</v>
      </c>
      <c r="O30" s="203"/>
      <c r="P30" s="203"/>
      <c r="Q30" s="203"/>
      <c r="R30" s="203"/>
      <c r="S30" s="203"/>
      <c r="T30" s="203"/>
      <c r="U30" s="203"/>
      <c r="V30" s="203"/>
      <c r="W30" s="203"/>
      <c r="X30" s="203"/>
    </row>
    <row r="31" spans="1:25" ht="33.75" customHeight="1" x14ac:dyDescent="0.15">
      <c r="A31" s="841" t="s">
        <v>101</v>
      </c>
      <c r="B31" s="842"/>
      <c r="C31" s="259">
        <f>[1]영업현황!C33</f>
        <v>3</v>
      </c>
      <c r="D31" s="259">
        <f>[1]영업현황!D33</f>
        <v>9</v>
      </c>
      <c r="E31" s="440">
        <f>SUM(C31:D31)</f>
        <v>12</v>
      </c>
      <c r="F31" s="259">
        <f>[1]영업현황!F33</f>
        <v>35</v>
      </c>
      <c r="G31" s="259">
        <f>[1]영업현황!G33</f>
        <v>10</v>
      </c>
      <c r="H31" s="259">
        <f>[1]영업현황!H33</f>
        <v>0</v>
      </c>
      <c r="I31" s="259">
        <f>[1]영업현황!I33</f>
        <v>1</v>
      </c>
      <c r="J31" s="440">
        <f>SUM(E31:I31)</f>
        <v>58</v>
      </c>
      <c r="K31" s="203"/>
      <c r="L31" s="258"/>
      <c r="M31" s="440"/>
      <c r="N31" s="2" t="s">
        <v>102</v>
      </c>
      <c r="O31" s="203"/>
      <c r="P31" s="203"/>
      <c r="Q31" s="203"/>
      <c r="R31" s="203"/>
      <c r="S31" s="203"/>
      <c r="T31" s="203"/>
      <c r="U31" s="203"/>
      <c r="V31" s="203"/>
      <c r="W31" s="203"/>
      <c r="X31" s="203"/>
    </row>
    <row r="32" spans="1:25" ht="33.75" customHeight="1" x14ac:dyDescent="0.15">
      <c r="A32" s="841" t="s">
        <v>103</v>
      </c>
      <c r="B32" s="842"/>
      <c r="C32" s="202">
        <f>SUM(C30:C31)</f>
        <v>3</v>
      </c>
      <c r="D32" s="202">
        <f>SUM(D30:D31)</f>
        <v>-27</v>
      </c>
      <c r="E32" s="202">
        <f>SUM(C32:D32)</f>
        <v>-24</v>
      </c>
      <c r="F32" s="202">
        <f>SUM(F30:F31)</f>
        <v>25</v>
      </c>
      <c r="G32" s="202">
        <f>SUM(G30:G31)</f>
        <v>-2</v>
      </c>
      <c r="H32" s="202">
        <f>SUM(H30:H31)</f>
        <v>0</v>
      </c>
      <c r="I32" s="202">
        <f>SUM(I30:I31)</f>
        <v>1</v>
      </c>
      <c r="J32" s="202">
        <f>SUM(J30:J31)</f>
        <v>0</v>
      </c>
      <c r="K32" s="203"/>
      <c r="L32" s="258"/>
      <c r="N32" s="203"/>
      <c r="O32" s="203"/>
      <c r="P32" s="203"/>
      <c r="Q32" s="203"/>
      <c r="R32" s="203"/>
      <c r="S32" s="203"/>
      <c r="T32" s="203"/>
      <c r="U32" s="203"/>
      <c r="V32" s="203"/>
      <c r="W32" s="203"/>
      <c r="X32" s="203"/>
    </row>
    <row r="33" spans="3:24" x14ac:dyDescent="0.15">
      <c r="C33" s="203"/>
      <c r="D33" s="203"/>
      <c r="E33" s="203"/>
      <c r="F33" s="203"/>
      <c r="G33" s="203"/>
      <c r="H33" s="203"/>
      <c r="I33" s="203"/>
      <c r="J33" s="203"/>
      <c r="K33" s="203"/>
      <c r="L33" s="258"/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</row>
    <row r="34" spans="3:24" ht="23.25" customHeight="1" x14ac:dyDescent="0.15">
      <c r="C34"/>
      <c r="D34"/>
      <c r="E34"/>
      <c r="F34"/>
      <c r="G34"/>
    </row>
    <row r="35" spans="3:24" ht="23.25" customHeight="1" x14ac:dyDescent="0.15"/>
    <row r="36" spans="3:24" x14ac:dyDescent="0.15">
      <c r="C36" s="510"/>
      <c r="D36" s="243"/>
      <c r="E36" s="243"/>
      <c r="F36" s="243"/>
      <c r="G36" s="243"/>
      <c r="H36" s="243"/>
      <c r="I36" s="243"/>
      <c r="J36" s="243"/>
    </row>
    <row r="37" spans="3:24" ht="16.5" x14ac:dyDescent="0.15">
      <c r="C37" s="511"/>
      <c r="D37" s="511"/>
      <c r="E37" s="243"/>
      <c r="F37" s="511"/>
      <c r="G37" s="511"/>
      <c r="H37" s="511"/>
      <c r="I37" s="512"/>
      <c r="J37" s="512"/>
    </row>
    <row r="38" spans="3:24" ht="16.5" x14ac:dyDescent="0.15">
      <c r="C38" s="513"/>
      <c r="D38" s="513"/>
      <c r="E38" s="513"/>
      <c r="F38" s="513"/>
      <c r="G38" s="513"/>
      <c r="H38" s="513"/>
      <c r="I38" s="513"/>
      <c r="J38" s="513"/>
    </row>
  </sheetData>
  <mergeCells count="19">
    <mergeCell ref="A25:B26"/>
    <mergeCell ref="A30:B30"/>
    <mergeCell ref="A31:B31"/>
    <mergeCell ref="A32:B32"/>
    <mergeCell ref="A5:A10"/>
    <mergeCell ref="A27:B27"/>
    <mergeCell ref="M9:N9"/>
    <mergeCell ref="A11:A16"/>
    <mergeCell ref="B12:B14"/>
    <mergeCell ref="M15:N15"/>
    <mergeCell ref="A17:A22"/>
    <mergeCell ref="M21:N21"/>
    <mergeCell ref="M22:N22"/>
    <mergeCell ref="J3:J4"/>
    <mergeCell ref="A3:B4"/>
    <mergeCell ref="F3:F4"/>
    <mergeCell ref="G3:G4"/>
    <mergeCell ref="H3:H4"/>
    <mergeCell ref="I3:I4"/>
  </mergeCells>
  <phoneticPr fontId="38" type="noConversion"/>
  <printOptions horizontalCentered="1" gridLinesSet="0"/>
  <pageMargins left="0.47244094488188981" right="0.27559055118110237" top="0.51181102362204722" bottom="0.82677165354330717" header="0.51181102362204722" footer="0.31496062992125984"/>
  <pageSetup paperSize="9" scale="76" orientation="portrait" r:id="rId1"/>
  <headerFooter alignWithMargins="0">
    <oddFooter>&amp;LDGEA-0100-02&amp;C&amp;G</oddFooter>
  </headerFooter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  <pageSetUpPr fitToPage="1"/>
  </sheetPr>
  <dimension ref="A1:AG52"/>
  <sheetViews>
    <sheetView tabSelected="1" workbookViewId="0">
      <selection activeCell="R13" sqref="R13"/>
    </sheetView>
  </sheetViews>
  <sheetFormatPr defaultColWidth="9" defaultRowHeight="21.75" customHeight="1" x14ac:dyDescent="0.15"/>
  <cols>
    <col min="1" max="1" width="4.25" style="1" customWidth="1"/>
    <col min="2" max="2" width="6" style="1" customWidth="1"/>
    <col min="3" max="3" width="12.625" style="1" customWidth="1"/>
    <col min="4" max="9" width="7.125" style="1" customWidth="1"/>
    <col min="10" max="10" width="7.125" style="96" customWidth="1"/>
    <col min="11" max="14" width="7.125" style="1" customWidth="1"/>
    <col min="15" max="16" width="6.625" style="1" customWidth="1"/>
    <col min="17" max="17" width="2.25" style="282" customWidth="1"/>
    <col min="18" max="18" width="7.375" style="14" customWidth="1"/>
    <col min="19" max="20" width="10.625" style="282" customWidth="1"/>
    <col min="21" max="21" width="2.25" style="282" customWidth="1"/>
    <col min="22" max="24" width="10.5" style="282" customWidth="1"/>
    <col min="25" max="25" width="2.25" style="282" customWidth="1"/>
    <col min="26" max="27" width="10.25" style="282" customWidth="1"/>
    <col min="28" max="33" width="9" style="282"/>
    <col min="34" max="16384" width="9" style="1"/>
  </cols>
  <sheetData>
    <row r="1" spans="1:33" ht="28.5" customHeight="1" x14ac:dyDescent="0.3">
      <c r="A1" s="280"/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  <c r="P1" s="280"/>
    </row>
    <row r="2" spans="1:33" ht="28.5" customHeight="1" thickBot="1" x14ac:dyDescent="0.35">
      <c r="A2" s="280"/>
      <c r="B2" s="280"/>
      <c r="C2" s="280"/>
      <c r="D2" s="280"/>
      <c r="E2" s="280"/>
      <c r="F2" s="413" t="s">
        <v>136</v>
      </c>
      <c r="G2" s="281"/>
      <c r="H2" s="281"/>
      <c r="I2" s="281"/>
      <c r="J2" s="281"/>
      <c r="K2" s="281"/>
      <c r="L2" s="280"/>
      <c r="M2" s="280"/>
      <c r="N2" s="280"/>
      <c r="O2" s="280"/>
      <c r="P2" s="280"/>
    </row>
    <row r="3" spans="1:33" ht="28.5" customHeight="1" thickBot="1" x14ac:dyDescent="0.2">
      <c r="D3" s="260"/>
      <c r="E3" s="260"/>
      <c r="F3" s="789">
        <f>YEAR(영업현황!A2)</f>
        <v>2026</v>
      </c>
      <c r="G3" s="789"/>
      <c r="H3" s="412">
        <f>MONTH(영업현황!A2)</f>
        <v>7</v>
      </c>
      <c r="I3" s="412"/>
      <c r="J3" s="790">
        <f>DAY(영업현황!A2)</f>
        <v>31</v>
      </c>
      <c r="K3" s="790"/>
      <c r="L3" s="197"/>
      <c r="M3" s="198"/>
      <c r="N3" s="11"/>
      <c r="O3" s="10"/>
      <c r="P3" s="10"/>
      <c r="S3" s="367" t="s">
        <v>224</v>
      </c>
      <c r="V3" s="282" t="s">
        <v>280</v>
      </c>
    </row>
    <row r="4" spans="1:33" ht="10.5" customHeight="1" x14ac:dyDescent="0.15">
      <c r="D4" s="116"/>
      <c r="E4" s="116"/>
      <c r="F4" s="8"/>
      <c r="G4" s="8"/>
      <c r="H4" s="8"/>
      <c r="J4" s="90"/>
      <c r="K4" s="187"/>
      <c r="L4" s="190"/>
      <c r="M4" s="13"/>
      <c r="N4" s="10"/>
      <c r="O4" s="10"/>
      <c r="P4" s="10"/>
    </row>
    <row r="5" spans="1:33" s="14" customFormat="1" ht="25.5" customHeight="1" thickBot="1" x14ac:dyDescent="0.2">
      <c r="A5" s="17" t="s">
        <v>35</v>
      </c>
      <c r="B5" s="10"/>
      <c r="C5" s="714"/>
      <c r="D5" s="116"/>
      <c r="E5" s="132"/>
      <c r="F5" s="450"/>
      <c r="G5" s="127"/>
      <c r="I5" s="97"/>
      <c r="J5" s="97"/>
      <c r="K5" s="186"/>
      <c r="L5" s="85"/>
      <c r="Q5" s="282"/>
      <c r="R5" s="15"/>
      <c r="T5" s="712">
        <f>7164/7801</f>
        <v>0.91834380207665689</v>
      </c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  <c r="AF5" s="282"/>
      <c r="AG5" s="282"/>
    </row>
    <row r="6" spans="1:33" ht="25.5" customHeight="1" x14ac:dyDescent="0.15">
      <c r="A6" s="266"/>
      <c r="B6" s="267" t="s">
        <v>36</v>
      </c>
      <c r="C6" s="795" t="s">
        <v>37</v>
      </c>
      <c r="D6" s="797" t="s">
        <v>118</v>
      </c>
      <c r="E6" s="798"/>
      <c r="F6" s="798"/>
      <c r="G6" s="798"/>
      <c r="H6" s="798"/>
      <c r="I6" s="799"/>
      <c r="J6" s="268" t="s">
        <v>119</v>
      </c>
      <c r="K6" s="269"/>
      <c r="L6" s="269"/>
      <c r="M6" s="269"/>
      <c r="N6" s="270"/>
      <c r="O6" s="753" t="s">
        <v>120</v>
      </c>
      <c r="P6" s="754"/>
      <c r="R6" s="16"/>
      <c r="S6" s="336" t="s">
        <v>157</v>
      </c>
      <c r="T6" s="336"/>
      <c r="V6" s="336" t="s">
        <v>223</v>
      </c>
      <c r="W6" s="336"/>
      <c r="X6" s="336"/>
      <c r="Z6" s="336" t="s">
        <v>158</v>
      </c>
      <c r="AA6" s="336"/>
      <c r="AG6" s="1"/>
    </row>
    <row r="7" spans="1:33" ht="25.5" customHeight="1" thickBot="1" x14ac:dyDescent="0.2">
      <c r="A7" s="271" t="s">
        <v>38</v>
      </c>
      <c r="B7" s="272"/>
      <c r="C7" s="796"/>
      <c r="D7" s="273" t="s">
        <v>39</v>
      </c>
      <c r="E7" s="274" t="s">
        <v>40</v>
      </c>
      <c r="F7" s="274" t="s">
        <v>41</v>
      </c>
      <c r="G7" s="277" t="s">
        <v>42</v>
      </c>
      <c r="H7" s="273" t="s">
        <v>43</v>
      </c>
      <c r="I7" s="275" t="s">
        <v>44</v>
      </c>
      <c r="J7" s="276" t="s">
        <v>39</v>
      </c>
      <c r="K7" s="273" t="s">
        <v>45</v>
      </c>
      <c r="L7" s="273" t="s">
        <v>46</v>
      </c>
      <c r="M7" s="275" t="s">
        <v>47</v>
      </c>
      <c r="N7" s="273" t="s">
        <v>48</v>
      </c>
      <c r="O7" s="755"/>
      <c r="P7" s="756"/>
      <c r="R7" s="16"/>
      <c r="S7" s="337" t="s">
        <v>155</v>
      </c>
      <c r="T7" s="337" t="s">
        <v>156</v>
      </c>
      <c r="V7" s="339" t="s">
        <v>152</v>
      </c>
      <c r="W7" s="337" t="s">
        <v>153</v>
      </c>
      <c r="X7" s="337" t="s">
        <v>154</v>
      </c>
      <c r="Z7" s="368" t="s">
        <v>159</v>
      </c>
      <c r="AA7" s="337" t="s">
        <v>160</v>
      </c>
      <c r="AG7" s="1"/>
    </row>
    <row r="8" spans="1:33" ht="25.5" customHeight="1" thickTop="1" thickBot="1" x14ac:dyDescent="0.2">
      <c r="A8" s="757" t="s">
        <v>49</v>
      </c>
      <c r="B8" s="758"/>
      <c r="C8" s="549">
        <v>1364807</v>
      </c>
      <c r="D8" s="370">
        <f>SUM(D9:D14)</f>
        <v>1142</v>
      </c>
      <c r="E8" s="355">
        <f>SUM(E9:E14)</f>
        <v>1446</v>
      </c>
      <c r="F8" s="371">
        <f>SUM(F9:F14)</f>
        <v>864</v>
      </c>
      <c r="G8" s="372">
        <f>SUM(G9:G14)</f>
        <v>0</v>
      </c>
      <c r="H8" s="394">
        <f t="shared" ref="H8:H14" si="0">IFERROR(E8/D8,"")</f>
        <v>1.2661996497373029</v>
      </c>
      <c r="I8" s="373">
        <f>IFERROR(E8/(D8/(EOMONTH(영업현황!$A$2,0)-EOMONTH(영업현황!$A$2,-1))*영업일보!$J$3),"")</f>
        <v>1.2661996497373029</v>
      </c>
      <c r="J8" s="374">
        <f>SUM(J9:J14)</f>
        <v>14614</v>
      </c>
      <c r="K8" s="343">
        <f>SUM(K9:K14)</f>
        <v>10344</v>
      </c>
      <c r="L8" s="344">
        <f>SUM(L9:L14)</f>
        <v>1317</v>
      </c>
      <c r="M8" s="394">
        <f t="shared" ref="M8:M14" si="1">K8/J8</f>
        <v>0.70781442452442866</v>
      </c>
      <c r="N8" s="373">
        <f t="shared" ref="N8:N13" si="2">K8/X8</f>
        <v>1.0112425457033922</v>
      </c>
      <c r="O8" s="414">
        <f>SUM(O9:P14)</f>
        <v>1365389</v>
      </c>
      <c r="P8" s="415"/>
      <c r="Q8" s="340"/>
      <c r="R8" s="410" t="b">
        <f>EXACT(O8,영업현황!J22)</f>
        <v>1</v>
      </c>
      <c r="S8" s="409">
        <v>8898</v>
      </c>
      <c r="T8" s="338">
        <v>453</v>
      </c>
      <c r="U8" s="340"/>
      <c r="V8" s="366">
        <f>IFERROR(SUM(V9:V14), 0)</f>
        <v>9087</v>
      </c>
      <c r="W8" s="366">
        <f>D8/(EOMONTH(영업현황!$A$2,0)-EOMONTH(영업현황!$A$2,-1))*$J$3</f>
        <v>1142</v>
      </c>
      <c r="X8" s="366">
        <f>V8+W8</f>
        <v>10229</v>
      </c>
      <c r="Y8" s="340"/>
      <c r="Z8" s="338">
        <v>0</v>
      </c>
      <c r="AA8" s="369">
        <f t="shared" ref="AA8:AA14" si="3">Z8+ABS(G8)</f>
        <v>0</v>
      </c>
      <c r="AG8" s="1"/>
    </row>
    <row r="9" spans="1:33" ht="25.5" customHeight="1" x14ac:dyDescent="0.15">
      <c r="A9" s="791" t="s">
        <v>50</v>
      </c>
      <c r="B9" s="399" t="s">
        <v>225</v>
      </c>
      <c r="C9" s="550">
        <v>815565</v>
      </c>
      <c r="D9" s="375">
        <f>HLOOKUP($H$3,공급전계획,16,0)</f>
        <v>920</v>
      </c>
      <c r="E9" s="356">
        <f>영업현황!C21+영업현황!C20-영업현황!C19</f>
        <v>962</v>
      </c>
      <c r="F9" s="357">
        <f>영업현황!C20</f>
        <v>165</v>
      </c>
      <c r="G9" s="263">
        <f>영업현황!C19</f>
        <v>3</v>
      </c>
      <c r="H9" s="395">
        <f t="shared" si="0"/>
        <v>1.0456521739130435</v>
      </c>
      <c r="I9" s="376">
        <f>IFERROR(E9/(D9/(EOMONTH(영업현황!$A$2,0)-EOMONTH(영업현황!$A$2,-1))*영업일보!$J$3),"")</f>
        <v>1.0456521739130435</v>
      </c>
      <c r="J9" s="377">
        <f>'공급전 계획(2026년)'!S19</f>
        <v>11789</v>
      </c>
      <c r="K9" s="345">
        <f t="shared" ref="K9:L14" si="4">S9+E9</f>
        <v>8993</v>
      </c>
      <c r="L9" s="346">
        <f t="shared" si="4"/>
        <v>294</v>
      </c>
      <c r="M9" s="395">
        <f t="shared" si="1"/>
        <v>0.76282975655271867</v>
      </c>
      <c r="N9" s="376">
        <f t="shared" si="2"/>
        <v>1.0370156826568266</v>
      </c>
      <c r="O9" s="416">
        <f t="shared" ref="O9:O14" si="5">C9+E9-F9+G9</f>
        <v>816365</v>
      </c>
      <c r="P9" s="417"/>
      <c r="Q9" s="340"/>
      <c r="R9" s="408"/>
      <c r="S9" s="338">
        <v>8031</v>
      </c>
      <c r="T9" s="338">
        <v>129</v>
      </c>
      <c r="U9" s="340"/>
      <c r="V9" s="366">
        <f>IFERROR(HLOOKUP($H$3-1,공급전계획,20,0),0)</f>
        <v>7752</v>
      </c>
      <c r="W9" s="366">
        <f>D9/(EOMONTH(영업현황!$A$2,0)-EOMONTH(영업현황!$A$2,-1))*$J$3</f>
        <v>920</v>
      </c>
      <c r="X9" s="366">
        <f t="shared" ref="X9:X14" si="6">V9+W9</f>
        <v>8672</v>
      </c>
      <c r="Y9" s="340"/>
      <c r="Z9" s="338">
        <v>16</v>
      </c>
      <c r="AA9" s="369">
        <f t="shared" si="3"/>
        <v>19</v>
      </c>
      <c r="AG9" s="1"/>
    </row>
    <row r="10" spans="1:33" ht="25.5" customHeight="1" x14ac:dyDescent="0.15">
      <c r="A10" s="792"/>
      <c r="B10" s="400" t="s">
        <v>51</v>
      </c>
      <c r="C10" s="551">
        <v>504596</v>
      </c>
      <c r="D10" s="378">
        <f>HLOOKUP($H$3,공급전계획,17,0)</f>
        <v>141</v>
      </c>
      <c r="E10" s="726">
        <f>영업현황!D21+영업현황!D20-영업현황!D19</f>
        <v>398</v>
      </c>
      <c r="F10" s="358">
        <f>영업현황!D20</f>
        <v>638</v>
      </c>
      <c r="G10" s="261">
        <f>영업현황!D19</f>
        <v>-27</v>
      </c>
      <c r="H10" s="396">
        <f t="shared" si="0"/>
        <v>2.8226950354609928</v>
      </c>
      <c r="I10" s="379">
        <f>IFERROR(E10/(D10/(EOMONTH(영업현황!$A$2,0)-EOMONTH(영업현황!$A$2,-1))*영업일보!$J$3),"")</f>
        <v>2.8226950354609928</v>
      </c>
      <c r="J10" s="380">
        <f>'공급전 계획(2026년)'!S20</f>
        <v>1869</v>
      </c>
      <c r="K10" s="347">
        <f t="shared" si="4"/>
        <v>811</v>
      </c>
      <c r="L10" s="348">
        <f t="shared" si="4"/>
        <v>827</v>
      </c>
      <c r="M10" s="402">
        <f t="shared" si="1"/>
        <v>0.43392188336008558</v>
      </c>
      <c r="N10" s="379">
        <f t="shared" si="2"/>
        <v>0.81671701913393757</v>
      </c>
      <c r="O10" s="418">
        <f t="shared" si="5"/>
        <v>504329</v>
      </c>
      <c r="P10" s="419"/>
      <c r="Q10" s="340"/>
      <c r="R10" s="408"/>
      <c r="S10" s="338">
        <v>413</v>
      </c>
      <c r="T10" s="338">
        <v>189</v>
      </c>
      <c r="U10" s="340"/>
      <c r="V10" s="366">
        <f>IFERROR(HLOOKUP($H$3-1,공급전계획,21,0),0)</f>
        <v>852</v>
      </c>
      <c r="W10" s="366">
        <f>D10/(EOMONTH(영업현황!$A$2,0)-EOMONTH(영업현황!$A$2,-1))*$J$3</f>
        <v>141</v>
      </c>
      <c r="X10" s="366">
        <f t="shared" si="6"/>
        <v>993</v>
      </c>
      <c r="Y10" s="340"/>
      <c r="Z10" s="338">
        <v>211</v>
      </c>
      <c r="AA10" s="369">
        <f t="shared" si="3"/>
        <v>238</v>
      </c>
      <c r="AB10" s="544"/>
      <c r="AG10" s="1"/>
    </row>
    <row r="11" spans="1:33" ht="25.5" customHeight="1" x14ac:dyDescent="0.15">
      <c r="A11" s="793" t="s">
        <v>444</v>
      </c>
      <c r="B11" s="794"/>
      <c r="C11" s="552">
        <v>28895</v>
      </c>
      <c r="D11" s="381">
        <f>HLOOKUP($H$3,공급전계획,3,0)</f>
        <v>55</v>
      </c>
      <c r="E11" s="359">
        <f>영업현황!F21+영업현황!F20-영업현황!F19</f>
        <v>61</v>
      </c>
      <c r="F11" s="360">
        <f>영업현황!F20</f>
        <v>45</v>
      </c>
      <c r="G11" s="264">
        <f>영업현황!F19</f>
        <v>25</v>
      </c>
      <c r="H11" s="397">
        <f t="shared" si="0"/>
        <v>1.1090909090909091</v>
      </c>
      <c r="I11" s="382">
        <f>IFERROR(E11/(D11/(EOMONTH(영업현황!$A$2,0)-EOMONTH(영업현황!$A$2,-1))*영업일보!$J$3),"")</f>
        <v>1.1090909090909091</v>
      </c>
      <c r="J11" s="383">
        <f>'공급전 계획(2026년)'!S6</f>
        <v>659</v>
      </c>
      <c r="K11" s="349">
        <f t="shared" si="4"/>
        <v>389</v>
      </c>
      <c r="L11" s="350">
        <f t="shared" si="4"/>
        <v>128</v>
      </c>
      <c r="M11" s="397">
        <f t="shared" si="1"/>
        <v>0.59028831562974204</v>
      </c>
      <c r="N11" s="382">
        <f t="shared" si="2"/>
        <v>0.99234693877551017</v>
      </c>
      <c r="O11" s="420">
        <f t="shared" si="5"/>
        <v>28936</v>
      </c>
      <c r="P11" s="421"/>
      <c r="Q11" s="340"/>
      <c r="R11" s="408"/>
      <c r="S11" s="338">
        <v>328</v>
      </c>
      <c r="T11" s="338">
        <v>83</v>
      </c>
      <c r="U11" s="340"/>
      <c r="V11" s="366">
        <f>IFERROR(HLOOKUP($H$3-1,공급전계획,22,0),0)</f>
        <v>337</v>
      </c>
      <c r="W11" s="366">
        <f>D11/(EOMONTH(영업현황!$A$2,0)-EOMONTH(영업현황!$A$2,-1))*$J$3</f>
        <v>55</v>
      </c>
      <c r="X11" s="366">
        <f t="shared" si="6"/>
        <v>392</v>
      </c>
      <c r="Y11" s="340"/>
      <c r="Z11" s="338">
        <v>174</v>
      </c>
      <c r="AA11" s="369">
        <f t="shared" si="3"/>
        <v>199</v>
      </c>
      <c r="AG11" s="1"/>
    </row>
    <row r="12" spans="1:33" ht="25.5" customHeight="1" x14ac:dyDescent="0.15">
      <c r="A12" s="793" t="s">
        <v>52</v>
      </c>
      <c r="B12" s="794"/>
      <c r="C12" s="551">
        <v>14176</v>
      </c>
      <c r="D12" s="381">
        <f>HLOOKUP($H$3,공급전계획,4,0)</f>
        <v>26</v>
      </c>
      <c r="E12" s="359">
        <f>영업현황!G21+영업현황!G20-영업현황!G19</f>
        <v>24</v>
      </c>
      <c r="F12" s="360">
        <f>영업현황!G20</f>
        <v>15</v>
      </c>
      <c r="G12" s="264">
        <f>영업현황!G19</f>
        <v>-2</v>
      </c>
      <c r="H12" s="397">
        <f t="shared" si="0"/>
        <v>0.92307692307692313</v>
      </c>
      <c r="I12" s="382">
        <f>IFERROR(E12/(D12/(EOMONTH(영업현황!$A$2,0)-EOMONTH(영업현황!$A$2,-1))*영업일보!$J$3),"")</f>
        <v>0.92307692307692313</v>
      </c>
      <c r="J12" s="383">
        <f>'공급전 계획(2026년)'!S7</f>
        <v>280</v>
      </c>
      <c r="K12" s="349">
        <f t="shared" si="4"/>
        <v>139</v>
      </c>
      <c r="L12" s="350">
        <f t="shared" si="4"/>
        <v>64</v>
      </c>
      <c r="M12" s="397">
        <f t="shared" si="1"/>
        <v>0.49642857142857144</v>
      </c>
      <c r="N12" s="382">
        <f t="shared" si="2"/>
        <v>0.84756097560975607</v>
      </c>
      <c r="O12" s="420">
        <f t="shared" si="5"/>
        <v>14183</v>
      </c>
      <c r="P12" s="421"/>
      <c r="Q12" s="340"/>
      <c r="R12" s="408"/>
      <c r="S12" s="338">
        <v>115</v>
      </c>
      <c r="T12" s="338">
        <v>49</v>
      </c>
      <c r="U12" s="340"/>
      <c r="V12" s="366">
        <f>IFERROR(HLOOKUP($H$3-1,공급전계획,23,0),0)</f>
        <v>138</v>
      </c>
      <c r="W12" s="366">
        <f>D12/(EOMONTH(영업현황!$A$2,0)-EOMONTH(영업현황!$A$2,-1))*$J$3</f>
        <v>26</v>
      </c>
      <c r="X12" s="366">
        <f t="shared" si="6"/>
        <v>164</v>
      </c>
      <c r="Y12" s="340"/>
      <c r="Z12" s="338">
        <v>21</v>
      </c>
      <c r="AA12" s="369">
        <f t="shared" si="3"/>
        <v>23</v>
      </c>
      <c r="AG12" s="1"/>
    </row>
    <row r="13" spans="1:33" ht="25.5" customHeight="1" x14ac:dyDescent="0.15">
      <c r="A13" s="779" t="s">
        <v>53</v>
      </c>
      <c r="B13" s="780"/>
      <c r="C13" s="553">
        <v>1453</v>
      </c>
      <c r="D13" s="375">
        <f>HLOOKUP($H$3,공급전계획,5,0)</f>
        <v>0</v>
      </c>
      <c r="E13" s="361">
        <f>영업현황!H21+영업현황!H20-영업현황!H19</f>
        <v>2</v>
      </c>
      <c r="F13" s="362">
        <f>영업현황!H20</f>
        <v>1</v>
      </c>
      <c r="G13" s="264">
        <f>영업현황!H19</f>
        <v>0</v>
      </c>
      <c r="H13" s="398" t="str">
        <f t="shared" si="0"/>
        <v/>
      </c>
      <c r="I13" s="384" t="str">
        <f>IFERROR(E13/(D13/(EOMONTH(영업현황!$A$2,0)-EOMONTH(영업현황!$A$2,-1))*영업일보!$J$3),"")</f>
        <v/>
      </c>
      <c r="J13" s="385">
        <f>'공급전 계획(2026년)'!S8</f>
        <v>13</v>
      </c>
      <c r="K13" s="351">
        <f t="shared" si="4"/>
        <v>12</v>
      </c>
      <c r="L13" s="352">
        <f t="shared" si="4"/>
        <v>4</v>
      </c>
      <c r="M13" s="398">
        <f t="shared" si="1"/>
        <v>0.92307692307692313</v>
      </c>
      <c r="N13" s="384">
        <f t="shared" si="2"/>
        <v>1.7142857142857142</v>
      </c>
      <c r="O13" s="420">
        <f t="shared" si="5"/>
        <v>1454</v>
      </c>
      <c r="P13" s="421"/>
      <c r="Q13" s="340"/>
      <c r="R13" s="408"/>
      <c r="S13" s="338">
        <v>10</v>
      </c>
      <c r="T13" s="338">
        <v>3</v>
      </c>
      <c r="U13" s="340"/>
      <c r="V13" s="366">
        <f>IFERROR(HLOOKUP($H$3-1,공급전계획,24,0),0)</f>
        <v>7</v>
      </c>
      <c r="W13" s="366">
        <f>D13/(EOMONTH(영업현황!$A$2,0)-EOMONTH(영업현황!$A$2,-1))*$J$3</f>
        <v>0</v>
      </c>
      <c r="X13" s="366">
        <f t="shared" si="6"/>
        <v>7</v>
      </c>
      <c r="Y13" s="340"/>
      <c r="Z13" s="338">
        <v>3</v>
      </c>
      <c r="AA13" s="369">
        <f t="shared" si="3"/>
        <v>3</v>
      </c>
      <c r="AG13" s="1"/>
    </row>
    <row r="14" spans="1:33" ht="25.5" customHeight="1" thickBot="1" x14ac:dyDescent="0.2">
      <c r="A14" s="781" t="s">
        <v>54</v>
      </c>
      <c r="B14" s="782"/>
      <c r="C14" s="554">
        <v>122</v>
      </c>
      <c r="D14" s="386">
        <f>HLOOKUP($H$3,공급전계획,6,0)</f>
        <v>0</v>
      </c>
      <c r="E14" s="353">
        <f>영업현황!I21+영업현황!I20-영업현황!I19</f>
        <v>-1</v>
      </c>
      <c r="F14" s="363">
        <f>영업현황!I20</f>
        <v>0</v>
      </c>
      <c r="G14" s="262">
        <f>영업현황!I19</f>
        <v>1</v>
      </c>
      <c r="H14" s="507" t="str">
        <f t="shared" si="0"/>
        <v/>
      </c>
      <c r="I14" s="508" t="str">
        <f>IFERROR(E14/(D14/(EOMONTH(영업현황!$A$2,0)-EOMONTH(영업현황!$A$2,-1))*영업일보!$J$3),"")</f>
        <v/>
      </c>
      <c r="J14" s="387">
        <f>'공급전 계획(2026년)'!S9</f>
        <v>4</v>
      </c>
      <c r="K14" s="353">
        <f t="shared" si="4"/>
        <v>0</v>
      </c>
      <c r="L14" s="354">
        <f t="shared" si="4"/>
        <v>0</v>
      </c>
      <c r="M14" s="403">
        <f t="shared" si="1"/>
        <v>0</v>
      </c>
      <c r="N14" s="388">
        <v>0</v>
      </c>
      <c r="O14" s="422">
        <f t="shared" si="5"/>
        <v>122</v>
      </c>
      <c r="P14" s="423"/>
      <c r="Q14" s="340"/>
      <c r="R14" s="408"/>
      <c r="S14" s="338">
        <v>1</v>
      </c>
      <c r="T14" s="338">
        <v>0</v>
      </c>
      <c r="U14" s="340"/>
      <c r="V14" s="366">
        <f>IFERROR(HLOOKUP($H$3-1,공급전계획,25,0),0)</f>
        <v>1</v>
      </c>
      <c r="W14" s="366">
        <f>D14/(EOMONTH(영업현황!$A$2,0)-EOMONTH(영업현황!$A$2,-1))*$J$3</f>
        <v>0</v>
      </c>
      <c r="X14" s="366">
        <f t="shared" si="6"/>
        <v>1</v>
      </c>
      <c r="Y14" s="340"/>
      <c r="Z14" s="338">
        <v>1</v>
      </c>
      <c r="AA14" s="369">
        <f t="shared" si="3"/>
        <v>2</v>
      </c>
      <c r="AG14" s="1"/>
    </row>
    <row r="15" spans="1:33" ht="25.5" customHeight="1" x14ac:dyDescent="0.15">
      <c r="A15" s="244"/>
      <c r="B15" s="244"/>
      <c r="C15" s="10"/>
      <c r="D15" s="11"/>
      <c r="E15" s="11"/>
      <c r="F15" s="117"/>
      <c r="G15" s="117"/>
      <c r="H15" s="118"/>
      <c r="I15" s="10"/>
      <c r="J15" s="98"/>
      <c r="K15" s="128"/>
      <c r="L15" s="91"/>
      <c r="M15" s="133"/>
      <c r="N15" s="10"/>
      <c r="O15" s="9"/>
      <c r="P15" s="11"/>
      <c r="R15" s="15"/>
      <c r="S15" s="282" t="s">
        <v>296</v>
      </c>
      <c r="V15" s="407"/>
    </row>
    <row r="16" spans="1:33" s="14" customFormat="1" ht="25.5" customHeight="1" thickBot="1" x14ac:dyDescent="0.2">
      <c r="A16" s="64" t="s">
        <v>55</v>
      </c>
      <c r="B16" s="65"/>
      <c r="C16" s="65"/>
      <c r="D16" s="59"/>
      <c r="J16" s="92"/>
      <c r="K16" s="15"/>
      <c r="P16" s="74"/>
      <c r="Q16" s="282"/>
      <c r="R16" s="15"/>
      <c r="S16" s="282" t="s">
        <v>297</v>
      </c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</row>
    <row r="17" spans="1:33" ht="25.5" customHeight="1" thickBot="1" x14ac:dyDescent="0.2">
      <c r="A17" s="783" t="s">
        <v>117</v>
      </c>
      <c r="B17" s="784"/>
      <c r="C17" s="729"/>
      <c r="D17" s="730" t="s">
        <v>56</v>
      </c>
      <c r="E17" s="730"/>
      <c r="F17" s="730"/>
      <c r="G17" s="729" t="s">
        <v>57</v>
      </c>
      <c r="H17" s="730"/>
      <c r="I17" s="730"/>
      <c r="J17" s="404" t="s">
        <v>271</v>
      </c>
      <c r="K17" s="730" t="s">
        <v>58</v>
      </c>
      <c r="L17" s="731"/>
      <c r="M17" s="759" t="s">
        <v>272</v>
      </c>
      <c r="N17" s="760"/>
      <c r="O17" s="760"/>
      <c r="P17" s="761"/>
      <c r="S17" s="282" t="s">
        <v>298</v>
      </c>
    </row>
    <row r="18" spans="1:33" ht="25.5" customHeight="1" thickTop="1" x14ac:dyDescent="0.15">
      <c r="A18" s="779" t="s">
        <v>118</v>
      </c>
      <c r="B18" s="780"/>
      <c r="C18" s="108" t="s">
        <v>59</v>
      </c>
      <c r="D18" s="762">
        <f>HLOOKUP($H$3,판매량계획,3,0)</f>
        <v>1875537362</v>
      </c>
      <c r="E18" s="763"/>
      <c r="F18" s="764"/>
      <c r="G18" s="738" t="str">
        <f>VLOOKUP($J$3,공급량!$A$7:$Q$37,11,0)</f>
        <v/>
      </c>
      <c r="H18" s="738"/>
      <c r="I18" s="739"/>
      <c r="J18" s="460" t="e">
        <f>G18/D18</f>
        <v>#VALUE!</v>
      </c>
      <c r="K18" s="765" t="e">
        <f>G18-D18</f>
        <v>#VALUE!</v>
      </c>
      <c r="L18" s="766"/>
      <c r="M18" s="804" t="s">
        <v>273</v>
      </c>
      <c r="N18" s="805"/>
      <c r="O18" s="769" t="s">
        <v>274</v>
      </c>
      <c r="P18" s="770"/>
      <c r="R18" s="59"/>
      <c r="S18" s="282" t="s">
        <v>299</v>
      </c>
    </row>
    <row r="19" spans="1:33" ht="25.5" customHeight="1" x14ac:dyDescent="0.15">
      <c r="A19" s="787"/>
      <c r="B19" s="788"/>
      <c r="C19" s="109" t="s">
        <v>60</v>
      </c>
      <c r="D19" s="750">
        <f>VLOOKUP($J$3,공급량!$A$7:$Q$37,10,0)</f>
        <v>1938055279</v>
      </c>
      <c r="E19" s="751"/>
      <c r="F19" s="752"/>
      <c r="G19" s="740" t="str">
        <f>G18</f>
        <v/>
      </c>
      <c r="H19" s="740"/>
      <c r="I19" s="741"/>
      <c r="J19" s="461" t="e">
        <f>G19/D19</f>
        <v>#VALUE!</v>
      </c>
      <c r="K19" s="767" t="e">
        <f>G19-D19</f>
        <v>#VALUE!</v>
      </c>
      <c r="L19" s="768"/>
      <c r="M19" s="771">
        <f>HLOOKUP($H$3,판매량계획,10,0)</f>
        <v>44.29013134932611</v>
      </c>
      <c r="N19" s="772"/>
      <c r="O19" s="775" t="e">
        <f>G19/((O8+C8)/2)/J3</f>
        <v>#VALUE!</v>
      </c>
      <c r="P19" s="776"/>
      <c r="R19" s="15"/>
      <c r="S19" s="282" t="s">
        <v>293</v>
      </c>
    </row>
    <row r="20" spans="1:33" ht="25.5" customHeight="1" x14ac:dyDescent="0.15">
      <c r="A20" s="785" t="s">
        <v>121</v>
      </c>
      <c r="B20" s="786"/>
      <c r="C20" s="110" t="s">
        <v>61</v>
      </c>
      <c r="D20" s="732">
        <f>'공급량 계획_MJ(2026년)'!R6</f>
        <v>44048395789</v>
      </c>
      <c r="E20" s="733"/>
      <c r="F20" s="734"/>
      <c r="G20" s="742" t="str">
        <f>VLOOKUP($J$3,공급량!$A$7:$Q$37,15,0)</f>
        <v/>
      </c>
      <c r="H20" s="742"/>
      <c r="I20" s="743"/>
      <c r="J20" s="462" t="e">
        <f>G20/D20</f>
        <v>#VALUE!</v>
      </c>
      <c r="K20" s="816" t="e">
        <f>G20-D20</f>
        <v>#VALUE!</v>
      </c>
      <c r="L20" s="817"/>
      <c r="M20" s="771"/>
      <c r="N20" s="772"/>
      <c r="O20" s="775"/>
      <c r="P20" s="776"/>
      <c r="S20" s="282" t="s">
        <v>294</v>
      </c>
    </row>
    <row r="21" spans="1:33" ht="24.75" customHeight="1" x14ac:dyDescent="0.15">
      <c r="A21" s="787"/>
      <c r="B21" s="788"/>
      <c r="C21" s="111" t="s">
        <v>60</v>
      </c>
      <c r="D21" s="750">
        <f>VLOOKUP($J$3,공급량!$A$7:$Q$37,14,0)</f>
        <v>25183473216</v>
      </c>
      <c r="E21" s="751"/>
      <c r="F21" s="752"/>
      <c r="G21" s="740" t="str">
        <f>G20</f>
        <v/>
      </c>
      <c r="H21" s="740"/>
      <c r="I21" s="741"/>
      <c r="J21" s="463" t="e">
        <f>G21/D21</f>
        <v>#VALUE!</v>
      </c>
      <c r="K21" s="727" t="str">
        <f>VLOOKUP($J$3,공급량!$A$7:$Q$37,17,0)</f>
        <v/>
      </c>
      <c r="L21" s="728"/>
      <c r="M21" s="771"/>
      <c r="N21" s="772"/>
      <c r="O21" s="775"/>
      <c r="P21" s="776"/>
      <c r="R21" s="59"/>
    </row>
    <row r="22" spans="1:33" ht="25.5" customHeight="1" x14ac:dyDescent="0.15">
      <c r="A22" s="800" t="s">
        <v>122</v>
      </c>
      <c r="B22" s="801"/>
      <c r="C22" s="107" t="s">
        <v>62</v>
      </c>
      <c r="D22" s="732" t="s">
        <v>346</v>
      </c>
      <c r="E22" s="733"/>
      <c r="F22" s="734"/>
      <c r="G22" s="742">
        <f>VLOOKUP($J$3,공급량!$A$7:$V$37,20,0)</f>
        <v>1941591221</v>
      </c>
      <c r="H22" s="742"/>
      <c r="I22" s="743"/>
      <c r="J22" s="464" t="e">
        <f>G18/G22</f>
        <v>#VALUE!</v>
      </c>
      <c r="K22" s="746" t="e">
        <f>G18-G22</f>
        <v>#VALUE!</v>
      </c>
      <c r="L22" s="747"/>
      <c r="M22" s="771"/>
      <c r="N22" s="772"/>
      <c r="O22" s="775"/>
      <c r="P22" s="776"/>
      <c r="S22" s="282" t="s">
        <v>270</v>
      </c>
    </row>
    <row r="23" spans="1:33" ht="25.5" customHeight="1" thickBot="1" x14ac:dyDescent="0.2">
      <c r="A23" s="802"/>
      <c r="B23" s="803"/>
      <c r="C23" s="123" t="s">
        <v>63</v>
      </c>
      <c r="D23" s="735" t="s">
        <v>346</v>
      </c>
      <c r="E23" s="736"/>
      <c r="F23" s="737"/>
      <c r="G23" s="744">
        <f>VLOOKUP($J$3,공급량!$A$7:$V$37,22,0)</f>
        <v>26107826908</v>
      </c>
      <c r="H23" s="744"/>
      <c r="I23" s="745"/>
      <c r="J23" s="465" t="e">
        <f>G20/G23</f>
        <v>#VALUE!</v>
      </c>
      <c r="K23" s="748" t="e">
        <f>G20-G23</f>
        <v>#VALUE!</v>
      </c>
      <c r="L23" s="749"/>
      <c r="M23" s="773"/>
      <c r="N23" s="774"/>
      <c r="O23" s="777"/>
      <c r="P23" s="778"/>
    </row>
    <row r="24" spans="1:33" ht="25.5" customHeight="1" x14ac:dyDescent="0.15">
      <c r="A24" s="244"/>
      <c r="B24" s="244"/>
      <c r="C24" s="9"/>
      <c r="D24" s="60"/>
      <c r="E24" s="18"/>
      <c r="F24" s="503"/>
      <c r="G24" s="19"/>
      <c r="H24" s="10"/>
      <c r="I24" s="10"/>
      <c r="J24" s="91"/>
      <c r="K24" s="12"/>
      <c r="L24" s="10"/>
      <c r="M24" s="10"/>
      <c r="N24" s="10"/>
      <c r="O24" s="10"/>
      <c r="P24" s="10"/>
    </row>
    <row r="25" spans="1:33" s="14" customFormat="1" ht="25.5" customHeight="1" thickBot="1" x14ac:dyDescent="0.2">
      <c r="A25" s="17" t="s">
        <v>64</v>
      </c>
      <c r="B25" s="10"/>
      <c r="C25" s="10"/>
      <c r="J25" s="85"/>
      <c r="Q25" s="282"/>
      <c r="S25" s="282"/>
      <c r="T25" s="282"/>
      <c r="U25" s="282"/>
      <c r="V25" s="282"/>
      <c r="W25" s="282"/>
      <c r="X25" s="282"/>
      <c r="Y25" s="282"/>
      <c r="Z25" s="282"/>
      <c r="AA25" s="282"/>
      <c r="AB25" s="282"/>
      <c r="AC25" s="282"/>
      <c r="AD25" s="282"/>
      <c r="AE25" s="282"/>
      <c r="AF25" s="282"/>
      <c r="AG25" s="282"/>
    </row>
    <row r="26" spans="1:33" s="10" customFormat="1" ht="25.5" customHeight="1" x14ac:dyDescent="0.15">
      <c r="A26" s="812" t="s">
        <v>104</v>
      </c>
      <c r="B26" s="760"/>
      <c r="C26" s="760" t="s">
        <v>105</v>
      </c>
      <c r="D26" s="814" t="s">
        <v>106</v>
      </c>
      <c r="E26" s="814"/>
      <c r="F26" s="814"/>
      <c r="G26" s="814"/>
      <c r="H26" s="814" t="s">
        <v>107</v>
      </c>
      <c r="I26" s="814"/>
      <c r="J26" s="814"/>
      <c r="K26" s="814"/>
      <c r="L26" s="814" t="s">
        <v>108</v>
      </c>
      <c r="M26" s="814"/>
      <c r="N26" s="760" t="s">
        <v>116</v>
      </c>
      <c r="O26" s="760"/>
      <c r="P26" s="761"/>
      <c r="Q26" s="282"/>
      <c r="R26" s="16"/>
      <c r="S26" s="364" t="s">
        <v>157</v>
      </c>
      <c r="T26" s="282"/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82"/>
      <c r="AF26" s="282"/>
    </row>
    <row r="27" spans="1:33" s="10" customFormat="1" ht="25.5" customHeight="1" thickBot="1" x14ac:dyDescent="0.2">
      <c r="A27" s="813"/>
      <c r="B27" s="796"/>
      <c r="C27" s="796"/>
      <c r="D27" s="265" t="s">
        <v>109</v>
      </c>
      <c r="E27" s="808" t="s">
        <v>112</v>
      </c>
      <c r="F27" s="808"/>
      <c r="G27" s="265" t="s">
        <v>110</v>
      </c>
      <c r="H27" s="265" t="s">
        <v>111</v>
      </c>
      <c r="I27" s="819" t="s">
        <v>45</v>
      </c>
      <c r="J27" s="819"/>
      <c r="K27" s="265" t="s">
        <v>113</v>
      </c>
      <c r="L27" s="265" t="s">
        <v>114</v>
      </c>
      <c r="M27" s="265" t="s">
        <v>115</v>
      </c>
      <c r="N27" s="796"/>
      <c r="O27" s="796"/>
      <c r="P27" s="818"/>
      <c r="Q27" s="282"/>
      <c r="R27" s="16"/>
      <c r="S27" s="337" t="s">
        <v>155</v>
      </c>
      <c r="T27" s="282"/>
      <c r="U27" s="282"/>
      <c r="V27" s="282"/>
      <c r="W27" s="282"/>
      <c r="X27" s="282"/>
      <c r="Y27" s="282"/>
      <c r="Z27" s="282"/>
      <c r="AA27" s="282"/>
      <c r="AB27" s="282"/>
      <c r="AC27" s="282"/>
      <c r="AD27" s="282"/>
      <c r="AE27" s="282"/>
      <c r="AF27" s="282"/>
    </row>
    <row r="28" spans="1:33" s="10" customFormat="1" ht="25.5" customHeight="1" thickTop="1" thickBot="1" x14ac:dyDescent="0.2">
      <c r="A28" s="810" t="s">
        <v>65</v>
      </c>
      <c r="B28" s="811"/>
      <c r="C28" s="555">
        <v>1388275</v>
      </c>
      <c r="D28" s="389"/>
      <c r="E28" s="815">
        <f>영업현황!J15</f>
        <v>-280</v>
      </c>
      <c r="F28" s="815"/>
      <c r="G28" s="390"/>
      <c r="H28" s="390"/>
      <c r="I28" s="815">
        <f>E28+S28</f>
        <v>4229</v>
      </c>
      <c r="J28" s="815"/>
      <c r="K28" s="365"/>
      <c r="L28" s="365"/>
      <c r="M28" s="390"/>
      <c r="N28" s="424">
        <f>C28+E28</f>
        <v>1387995</v>
      </c>
      <c r="O28" s="425"/>
      <c r="P28" s="426"/>
      <c r="Q28" s="282"/>
      <c r="R28" s="410" t="b">
        <f>EXACT(N28,영업현황!J16)</f>
        <v>1</v>
      </c>
      <c r="S28" s="338">
        <v>4509</v>
      </c>
      <c r="T28" s="282"/>
      <c r="U28" s="282"/>
      <c r="V28" s="506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</row>
    <row r="29" spans="1:33" s="10" customFormat="1" ht="25.5" customHeight="1" x14ac:dyDescent="0.15">
      <c r="D29" s="61"/>
      <c r="E29" s="18"/>
      <c r="F29" s="18"/>
      <c r="G29" s="18"/>
      <c r="J29" s="93"/>
      <c r="M29" s="11"/>
      <c r="P29" s="11"/>
      <c r="Q29" s="282"/>
      <c r="R29" s="74"/>
      <c r="S29" s="282"/>
      <c r="T29" s="282"/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  <c r="AF29" s="282"/>
      <c r="AG29" s="282"/>
    </row>
    <row r="30" spans="1:33" s="10" customFormat="1" ht="25.5" customHeight="1" thickBot="1" x14ac:dyDescent="0.2">
      <c r="A30" s="17" t="s">
        <v>66</v>
      </c>
      <c r="J30" s="91"/>
      <c r="M30" s="11"/>
      <c r="Q30" s="282"/>
      <c r="R30" s="14"/>
      <c r="S30" s="282"/>
      <c r="T30" s="282"/>
      <c r="U30" s="282"/>
      <c r="V30" s="282"/>
      <c r="W30" s="282"/>
      <c r="X30" s="282"/>
      <c r="Y30" s="282"/>
      <c r="Z30" s="282"/>
      <c r="AA30" s="282"/>
      <c r="AB30" s="282"/>
      <c r="AC30" s="282"/>
      <c r="AD30" s="282"/>
      <c r="AE30" s="282"/>
      <c r="AF30" s="282"/>
      <c r="AG30" s="282"/>
    </row>
    <row r="31" spans="1:33" s="10" customFormat="1" ht="25.5" customHeight="1" x14ac:dyDescent="0.15">
      <c r="A31" s="812" t="s">
        <v>123</v>
      </c>
      <c r="B31" s="760"/>
      <c r="C31" s="760" t="s">
        <v>67</v>
      </c>
      <c r="D31" s="814" t="s">
        <v>124</v>
      </c>
      <c r="E31" s="814"/>
      <c r="F31" s="814"/>
      <c r="G31" s="814"/>
      <c r="H31" s="814" t="s">
        <v>107</v>
      </c>
      <c r="I31" s="814"/>
      <c r="J31" s="814"/>
      <c r="K31" s="814"/>
      <c r="L31" s="814" t="s">
        <v>125</v>
      </c>
      <c r="M31" s="814"/>
      <c r="N31" s="760" t="s">
        <v>126</v>
      </c>
      <c r="O31" s="760"/>
      <c r="P31" s="761"/>
      <c r="Q31" s="282"/>
      <c r="R31" s="16"/>
      <c r="S31" s="336" t="s">
        <v>157</v>
      </c>
      <c r="T31" s="336"/>
      <c r="U31" s="282"/>
      <c r="V31" s="336" t="s">
        <v>226</v>
      </c>
      <c r="W31" s="282"/>
      <c r="X31" s="282"/>
      <c r="Y31" s="282"/>
      <c r="Z31" s="282"/>
      <c r="AA31" s="282"/>
      <c r="AB31" s="282"/>
      <c r="AC31" s="282"/>
      <c r="AD31" s="282"/>
      <c r="AE31" s="282"/>
      <c r="AF31" s="282"/>
      <c r="AG31" s="282"/>
    </row>
    <row r="32" spans="1:33" s="10" customFormat="1" ht="25.5" customHeight="1" thickBot="1" x14ac:dyDescent="0.2">
      <c r="A32" s="813"/>
      <c r="B32" s="796"/>
      <c r="C32" s="796"/>
      <c r="D32" s="265" t="s">
        <v>127</v>
      </c>
      <c r="E32" s="808" t="s">
        <v>128</v>
      </c>
      <c r="F32" s="808"/>
      <c r="G32" s="265" t="s">
        <v>129</v>
      </c>
      <c r="H32" s="265" t="s">
        <v>130</v>
      </c>
      <c r="I32" s="265" t="s">
        <v>131</v>
      </c>
      <c r="J32" s="279" t="s">
        <v>132</v>
      </c>
      <c r="K32" s="265" t="s">
        <v>133</v>
      </c>
      <c r="L32" s="278" t="s">
        <v>134</v>
      </c>
      <c r="M32" s="278" t="s">
        <v>135</v>
      </c>
      <c r="N32" s="796"/>
      <c r="O32" s="796"/>
      <c r="P32" s="818"/>
      <c r="Q32" s="282"/>
      <c r="R32" s="16"/>
      <c r="S32" s="337" t="s">
        <v>155</v>
      </c>
      <c r="T32" s="337" t="s">
        <v>156</v>
      </c>
      <c r="U32" s="282"/>
      <c r="V32" s="339" t="s">
        <v>227</v>
      </c>
      <c r="W32" s="282"/>
      <c r="X32" s="282"/>
      <c r="Y32" s="282"/>
      <c r="Z32" s="282"/>
      <c r="AA32" s="282"/>
      <c r="AB32" s="282"/>
      <c r="AC32" s="282"/>
      <c r="AD32" s="282"/>
      <c r="AE32" s="282"/>
      <c r="AF32" s="282"/>
      <c r="AG32" s="282"/>
    </row>
    <row r="33" spans="1:33" s="10" customFormat="1" ht="25.5" customHeight="1" thickTop="1" thickBot="1" x14ac:dyDescent="0.2">
      <c r="A33" s="806" t="s">
        <v>68</v>
      </c>
      <c r="B33" s="807"/>
      <c r="C33" s="556">
        <v>1393627</v>
      </c>
      <c r="D33" s="391">
        <f>HLOOKUP($H$3,계약전계획,7,0)</f>
        <v>4111</v>
      </c>
      <c r="E33" s="809">
        <f>영업현황!J9+L33</f>
        <v>292</v>
      </c>
      <c r="F33" s="809"/>
      <c r="G33" s="392">
        <f>E33/D33</f>
        <v>7.1028946728289952E-2</v>
      </c>
      <c r="H33" s="393">
        <f>'계약전 계획(2026년)'!S10</f>
        <v>20164</v>
      </c>
      <c r="I33" s="393">
        <f>S33+E33</f>
        <v>3495</v>
      </c>
      <c r="J33" s="392">
        <f>I33/H33</f>
        <v>0.17332870462209879</v>
      </c>
      <c r="K33" s="392">
        <f>I33/V33</f>
        <v>0.28375416091580741</v>
      </c>
      <c r="L33" s="393">
        <f>영업현황!J8</f>
        <v>864</v>
      </c>
      <c r="M33" s="393">
        <f>T33+L33</f>
        <v>1317</v>
      </c>
      <c r="N33" s="427">
        <f>C33+E33-L33</f>
        <v>1393055</v>
      </c>
      <c r="O33" s="428"/>
      <c r="P33" s="429"/>
      <c r="Q33" s="282"/>
      <c r="R33" s="410" t="b">
        <f>EXACT(N33,영업현황!J10)</f>
        <v>1</v>
      </c>
      <c r="S33" s="338">
        <v>3203</v>
      </c>
      <c r="T33" s="338">
        <v>453</v>
      </c>
      <c r="U33" s="282"/>
      <c r="V33" s="366">
        <f>HLOOKUP($H$3,계약전계획,9,0)</f>
        <v>12317</v>
      </c>
      <c r="W33" s="282"/>
      <c r="X33" s="282"/>
      <c r="Y33" s="282"/>
      <c r="Z33" s="282"/>
      <c r="AA33" s="282"/>
      <c r="AB33" s="282"/>
      <c r="AC33" s="282"/>
      <c r="AD33" s="282"/>
      <c r="AE33" s="282"/>
      <c r="AF33" s="282"/>
      <c r="AG33" s="282"/>
    </row>
    <row r="34" spans="1:33" s="10" customFormat="1" ht="25.5" customHeight="1" x14ac:dyDescent="0.15">
      <c r="A34" s="16"/>
      <c r="B34" s="16"/>
      <c r="C34" s="66"/>
      <c r="D34" s="73"/>
      <c r="E34" s="15"/>
      <c r="F34" s="15"/>
      <c r="G34" s="15"/>
      <c r="H34" s="67"/>
      <c r="I34" s="67"/>
      <c r="J34" s="94"/>
      <c r="K34" s="15"/>
      <c r="L34" s="67"/>
      <c r="M34" s="67"/>
      <c r="N34" s="74"/>
      <c r="O34" s="74"/>
      <c r="P34" s="62"/>
      <c r="Q34" s="282"/>
      <c r="R34" s="63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  <c r="AF34" s="282"/>
      <c r="AG34" s="282"/>
    </row>
    <row r="35" spans="1:33" ht="27.75" customHeight="1" x14ac:dyDescent="0.15">
      <c r="A35" s="68"/>
      <c r="B35" s="68"/>
      <c r="C35" s="191"/>
      <c r="D35" s="70"/>
      <c r="E35" s="69"/>
      <c r="F35" s="71"/>
      <c r="G35" s="71"/>
      <c r="H35" s="72"/>
      <c r="I35" s="72"/>
      <c r="J35" s="95"/>
      <c r="K35" s="71"/>
      <c r="L35" s="438" t="b">
        <f>EXACT(F8,L33)</f>
        <v>1</v>
      </c>
      <c r="M35" s="438" t="b">
        <f>EXACT(M33,L8)</f>
        <v>1</v>
      </c>
      <c r="N35" s="436"/>
      <c r="O35" s="437"/>
      <c r="P35" s="437"/>
      <c r="R35" s="192"/>
    </row>
    <row r="36" spans="1:33" ht="21.75" customHeight="1" x14ac:dyDescent="0.15">
      <c r="F36" s="112"/>
      <c r="G36" s="112"/>
      <c r="I36" s="75"/>
      <c r="J36" s="90"/>
      <c r="N36" s="15"/>
    </row>
    <row r="37" spans="1:33" ht="21.75" customHeight="1" x14ac:dyDescent="0.15">
      <c r="N37" s="175"/>
    </row>
    <row r="38" spans="1:33" ht="21.75" customHeight="1" x14ac:dyDescent="0.15">
      <c r="I38" s="75"/>
    </row>
    <row r="43" spans="1:33" ht="21.75" customHeight="1" x14ac:dyDescent="0.15">
      <c r="M43" s="146"/>
      <c r="N43" s="147"/>
    </row>
    <row r="44" spans="1:33" ht="21.75" customHeight="1" x14ac:dyDescent="0.15">
      <c r="M44" s="146"/>
      <c r="N44" s="147"/>
    </row>
    <row r="45" spans="1:33" ht="21.75" customHeight="1" x14ac:dyDescent="0.15">
      <c r="M45" s="146"/>
      <c r="N45" s="147"/>
    </row>
    <row r="46" spans="1:33" ht="21.75" customHeight="1" x14ac:dyDescent="0.15">
      <c r="M46" s="146"/>
      <c r="N46" s="147"/>
    </row>
    <row r="47" spans="1:33" ht="21.75" customHeight="1" x14ac:dyDescent="0.15">
      <c r="M47" s="146"/>
      <c r="N47" s="147"/>
    </row>
    <row r="48" spans="1:33" ht="21.75" customHeight="1" x14ac:dyDescent="0.15">
      <c r="M48" s="146"/>
      <c r="N48" s="147"/>
    </row>
    <row r="49" spans="13:14" ht="21.75" customHeight="1" x14ac:dyDescent="0.15">
      <c r="M49" s="146"/>
      <c r="N49" s="147"/>
    </row>
    <row r="50" spans="13:14" ht="21.75" customHeight="1" x14ac:dyDescent="0.15">
      <c r="M50" s="146"/>
      <c r="N50" s="147"/>
    </row>
    <row r="51" spans="13:14" ht="21.75" customHeight="1" x14ac:dyDescent="0.15">
      <c r="M51" s="146"/>
      <c r="N51" s="146"/>
    </row>
    <row r="52" spans="13:14" ht="21.75" customHeight="1" x14ac:dyDescent="0.15">
      <c r="N52" s="148"/>
    </row>
  </sheetData>
  <mergeCells count="61">
    <mergeCell ref="N31:P32"/>
    <mergeCell ref="N26:P27"/>
    <mergeCell ref="H26:K26"/>
    <mergeCell ref="L26:M26"/>
    <mergeCell ref="H31:K31"/>
    <mergeCell ref="L31:M31"/>
    <mergeCell ref="I27:J27"/>
    <mergeCell ref="I28:J28"/>
    <mergeCell ref="A22:B23"/>
    <mergeCell ref="A18:B19"/>
    <mergeCell ref="M18:N18"/>
    <mergeCell ref="A33:B33"/>
    <mergeCell ref="E32:F32"/>
    <mergeCell ref="E33:F33"/>
    <mergeCell ref="A28:B28"/>
    <mergeCell ref="A31:B32"/>
    <mergeCell ref="C31:C32"/>
    <mergeCell ref="D31:G31"/>
    <mergeCell ref="E28:F28"/>
    <mergeCell ref="A26:B27"/>
    <mergeCell ref="C26:C27"/>
    <mergeCell ref="D26:G26"/>
    <mergeCell ref="E27:F27"/>
    <mergeCell ref="K20:L20"/>
    <mergeCell ref="F3:G3"/>
    <mergeCell ref="J3:K3"/>
    <mergeCell ref="A9:A10"/>
    <mergeCell ref="A11:B11"/>
    <mergeCell ref="A12:B12"/>
    <mergeCell ref="C6:C7"/>
    <mergeCell ref="D6:I6"/>
    <mergeCell ref="O6:P7"/>
    <mergeCell ref="A8:B8"/>
    <mergeCell ref="M17:P17"/>
    <mergeCell ref="D18:F18"/>
    <mergeCell ref="D19:F19"/>
    <mergeCell ref="K18:L18"/>
    <mergeCell ref="K19:L19"/>
    <mergeCell ref="O18:P18"/>
    <mergeCell ref="M19:N23"/>
    <mergeCell ref="O19:P23"/>
    <mergeCell ref="A13:B13"/>
    <mergeCell ref="A14:B14"/>
    <mergeCell ref="A17:C17"/>
    <mergeCell ref="D17:F17"/>
    <mergeCell ref="A20:B21"/>
    <mergeCell ref="D20:F20"/>
    <mergeCell ref="K21:L21"/>
    <mergeCell ref="G17:I17"/>
    <mergeCell ref="K17:L17"/>
    <mergeCell ref="D22:F22"/>
    <mergeCell ref="D23:F23"/>
    <mergeCell ref="G18:I18"/>
    <mergeCell ref="G19:I19"/>
    <mergeCell ref="G20:I20"/>
    <mergeCell ref="G21:I21"/>
    <mergeCell ref="G22:I22"/>
    <mergeCell ref="G23:I23"/>
    <mergeCell ref="K22:L22"/>
    <mergeCell ref="K23:L23"/>
    <mergeCell ref="D21:F21"/>
  </mergeCells>
  <phoneticPr fontId="38" type="noConversion"/>
  <conditionalFormatting sqref="K8 D8:F8">
    <cfRule type="expression" dxfId="9" priority="8" stopIfTrue="1">
      <formula>D8&lt;&gt;SUM(D9:D14)</formula>
    </cfRule>
  </conditionalFormatting>
  <conditionalFormatting sqref="D8:G8">
    <cfRule type="expression" dxfId="8" priority="5" stopIfTrue="1">
      <formula>D8&lt;&gt;SUM(D9:D14)</formula>
    </cfRule>
  </conditionalFormatting>
  <conditionalFormatting sqref="D4:D5">
    <cfRule type="expression" dxfId="7" priority="10" stopIfTrue="1">
      <formula>TEXT(#REF!,"aaaa")="화요일"</formula>
    </cfRule>
  </conditionalFormatting>
  <conditionalFormatting sqref="O8">
    <cfRule type="expression" dxfId="6" priority="63" stopIfTrue="1">
      <formula>$O$8&lt;&gt;#REF!</formula>
    </cfRule>
  </conditionalFormatting>
  <printOptions horizontalCentered="1"/>
  <pageMargins left="0.31496062992125984" right="0.31496062992125984" top="0.59055118110236227" bottom="0.47244094488188981" header="0.51181102362204722" footer="0.47244094488188981"/>
  <pageSetup paperSize="9" scale="79" orientation="portrait" r:id="rId1"/>
  <headerFooter alignWithMargins="0">
    <oddFooter>&amp;LDGEA-0100-01&amp;C&amp;G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/>
  </sheetPr>
  <dimension ref="A1:AB72"/>
  <sheetViews>
    <sheetView workbookViewId="0">
      <selection activeCell="G11" sqref="G11"/>
    </sheetView>
  </sheetViews>
  <sheetFormatPr defaultColWidth="9" defaultRowHeight="12" x14ac:dyDescent="0.15"/>
  <cols>
    <col min="1" max="2" width="5.875" style="76" customWidth="1"/>
    <col min="3" max="3" width="14.75" style="76" customWidth="1"/>
    <col min="4" max="4" width="16.75" style="76" bestFit="1" customWidth="1"/>
    <col min="5" max="5" width="18.125" style="76" bestFit="1" customWidth="1"/>
    <col min="6" max="6" width="14.875" style="76" bestFit="1" customWidth="1"/>
    <col min="7" max="7" width="13" style="76" customWidth="1"/>
    <col min="8" max="8" width="6" style="76" customWidth="1"/>
    <col min="9" max="9" width="16.25" style="76" bestFit="1" customWidth="1"/>
    <col min="10" max="11" width="16.75" style="76" bestFit="1" customWidth="1"/>
    <col min="12" max="12" width="7.25" style="76" bestFit="1" customWidth="1"/>
    <col min="13" max="13" width="16" style="76" bestFit="1" customWidth="1"/>
    <col min="14" max="15" width="17.625" style="76" customWidth="1"/>
    <col min="16" max="16" width="6.75" style="76" customWidth="1"/>
    <col min="17" max="17" width="17.875" style="76" bestFit="1" customWidth="1"/>
    <col min="18" max="18" width="14.125" style="135" customWidth="1"/>
    <col min="19" max="19" width="6.75" style="76" bestFit="1" customWidth="1"/>
    <col min="20" max="20" width="14.375" style="135" customWidth="1"/>
    <col min="21" max="21" width="6.75" style="76" bestFit="1" customWidth="1"/>
    <col min="22" max="22" width="16.125" style="135" bestFit="1" customWidth="1"/>
    <col min="23" max="23" width="6.75" style="76" bestFit="1" customWidth="1"/>
    <col min="24" max="24" width="9" style="76"/>
    <col min="25" max="25" width="15.625" style="76" customWidth="1"/>
    <col min="26" max="26" width="15.625" style="185" customWidth="1"/>
    <col min="27" max="28" width="11.125" style="76" bestFit="1" customWidth="1"/>
    <col min="29" max="16384" width="9" style="76"/>
  </cols>
  <sheetData>
    <row r="1" spans="1:28" ht="60" customHeight="1" x14ac:dyDescent="0.15">
      <c r="A1" s="713">
        <f>MONTH(영업현황!A2)</f>
        <v>7</v>
      </c>
      <c r="B1" s="200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 t="s">
        <v>385</v>
      </c>
      <c r="T1" s="201"/>
      <c r="U1" s="201"/>
      <c r="V1" s="201"/>
      <c r="W1" s="201"/>
      <c r="Z1" s="76"/>
    </row>
    <row r="2" spans="1:28" ht="21.75" customHeight="1" thickBot="1" x14ac:dyDescent="0.2">
      <c r="C2" s="115"/>
      <c r="D2" s="115"/>
      <c r="E2" s="89"/>
      <c r="F2" s="129"/>
      <c r="G2" s="88"/>
      <c r="H2" s="88"/>
      <c r="I2" s="88"/>
      <c r="J2" s="84"/>
      <c r="Q2" s="106"/>
      <c r="Y2" s="76" t="s">
        <v>24</v>
      </c>
      <c r="Z2" s="76" t="s">
        <v>8</v>
      </c>
    </row>
    <row r="3" spans="1:28" s="134" customFormat="1" ht="24" customHeight="1" x14ac:dyDescent="0.15">
      <c r="A3" s="77" t="s">
        <v>3</v>
      </c>
      <c r="B3" s="86" t="s">
        <v>6</v>
      </c>
      <c r="C3" s="78" t="s">
        <v>195</v>
      </c>
      <c r="D3" s="79"/>
      <c r="E3" s="79"/>
      <c r="F3" s="78" t="s">
        <v>196</v>
      </c>
      <c r="G3" s="79"/>
      <c r="H3" s="79"/>
      <c r="I3" s="79"/>
      <c r="J3" s="78" t="s">
        <v>197</v>
      </c>
      <c r="K3" s="79"/>
      <c r="L3" s="79"/>
      <c r="M3" s="79"/>
      <c r="N3" s="78" t="s">
        <v>198</v>
      </c>
      <c r="O3" s="79"/>
      <c r="P3" s="79"/>
      <c r="Q3" s="170"/>
      <c r="R3" s="139" t="s">
        <v>199</v>
      </c>
      <c r="S3" s="140"/>
      <c r="T3" s="140"/>
      <c r="U3" s="140"/>
      <c r="V3" s="140"/>
      <c r="W3" s="141"/>
      <c r="Y3" s="167">
        <f>EOMONTH(Y4,0)</f>
        <v>46234</v>
      </c>
      <c r="Z3" s="167">
        <f>EOMONTH(Y4,-1)</f>
        <v>46203</v>
      </c>
      <c r="AA3" s="134">
        <f>Z3-Y3</f>
        <v>-31</v>
      </c>
    </row>
    <row r="4" spans="1:28" s="134" customFormat="1" ht="24" customHeight="1" thickBot="1" x14ac:dyDescent="0.2">
      <c r="A4" s="80" t="s">
        <v>4</v>
      </c>
      <c r="B4" s="87" t="s">
        <v>7</v>
      </c>
      <c r="C4" s="81" t="s">
        <v>211</v>
      </c>
      <c r="D4" s="81" t="s">
        <v>200</v>
      </c>
      <c r="E4" s="81" t="s">
        <v>201</v>
      </c>
      <c r="F4" s="81" t="s">
        <v>202</v>
      </c>
      <c r="G4" s="81" t="s">
        <v>203</v>
      </c>
      <c r="H4" s="81" t="s">
        <v>5</v>
      </c>
      <c r="I4" s="81" t="s">
        <v>204</v>
      </c>
      <c r="J4" s="81" t="s">
        <v>205</v>
      </c>
      <c r="K4" s="81" t="s">
        <v>206</v>
      </c>
      <c r="L4" s="81" t="s">
        <v>5</v>
      </c>
      <c r="M4" s="81" t="s">
        <v>207</v>
      </c>
      <c r="N4" s="81" t="s">
        <v>202</v>
      </c>
      <c r="O4" s="81" t="s">
        <v>208</v>
      </c>
      <c r="P4" s="81" t="s">
        <v>5</v>
      </c>
      <c r="Q4" s="171" t="s">
        <v>209</v>
      </c>
      <c r="R4" s="142" t="s">
        <v>210</v>
      </c>
      <c r="S4" s="143" t="s">
        <v>22</v>
      </c>
      <c r="T4" s="144" t="s">
        <v>20</v>
      </c>
      <c r="U4" s="143" t="s">
        <v>22</v>
      </c>
      <c r="V4" s="144" t="s">
        <v>21</v>
      </c>
      <c r="W4" s="145" t="s">
        <v>22</v>
      </c>
      <c r="Y4" s="167">
        <f>영업현황!A2</f>
        <v>46234</v>
      </c>
    </row>
    <row r="5" spans="1:28" ht="24" customHeight="1" thickTop="1" x14ac:dyDescent="0.15">
      <c r="A5" s="845" t="s">
        <v>23</v>
      </c>
      <c r="B5" s="846"/>
      <c r="C5" s="82"/>
      <c r="D5" s="82"/>
      <c r="E5" s="82"/>
      <c r="F5" s="439">
        <f>HLOOKUP($A$1,'공급량 계획_MJ(2026년)'!$D$4:$P$7,3,0)</f>
        <v>1875537362</v>
      </c>
      <c r="G5" s="82"/>
      <c r="H5" s="159"/>
      <c r="I5" s="82"/>
      <c r="J5" s="105"/>
      <c r="K5" s="82"/>
      <c r="L5" s="159"/>
      <c r="M5" s="82"/>
      <c r="N5" s="105"/>
      <c r="O5" s="82"/>
      <c r="P5" s="159"/>
      <c r="Q5" s="172"/>
      <c r="R5" s="160"/>
      <c r="S5" s="161"/>
      <c r="T5" s="162"/>
      <c r="U5" s="163"/>
      <c r="V5" s="164"/>
      <c r="W5" s="165"/>
      <c r="Y5" s="316">
        <f>F5-ROUND(F5/(Y3-Z3),0)*(Y3-Z3)</f>
        <v>7</v>
      </c>
      <c r="Z5" s="76"/>
    </row>
    <row r="6" spans="1:28" s="134" customFormat="1" ht="24" customHeight="1" x14ac:dyDescent="0.15">
      <c r="A6" s="847" t="s">
        <v>193</v>
      </c>
      <c r="B6" s="848"/>
      <c r="C6" s="177"/>
      <c r="D6" s="177" t="s">
        <v>414</v>
      </c>
      <c r="E6" s="177" t="s">
        <v>414</v>
      </c>
      <c r="F6" s="178">
        <v>74301705</v>
      </c>
      <c r="G6" s="177">
        <v>50245264</v>
      </c>
      <c r="H6" s="179"/>
      <c r="I6" s="177">
        <v>-24056441</v>
      </c>
      <c r="J6" s="178">
        <v>2303352863</v>
      </c>
      <c r="K6" s="177">
        <v>2186544966</v>
      </c>
      <c r="L6" s="179">
        <v>94.928788425067296</v>
      </c>
      <c r="M6" s="177">
        <v>-116807897</v>
      </c>
      <c r="N6" s="178">
        <v>23245417937</v>
      </c>
      <c r="O6" s="177">
        <v>23072197255</v>
      </c>
      <c r="P6" s="179">
        <v>99.254817949630052</v>
      </c>
      <c r="Q6" s="180">
        <v>-173220682</v>
      </c>
      <c r="R6" s="181">
        <v>59423662</v>
      </c>
      <c r="S6" s="182">
        <v>84.554304310629661</v>
      </c>
      <c r="T6" s="177">
        <v>2367844372</v>
      </c>
      <c r="U6" s="179">
        <v>92.343271874457471</v>
      </c>
      <c r="V6" s="177">
        <v>24166235687</v>
      </c>
      <c r="W6" s="196">
        <v>95.472863683984812</v>
      </c>
      <c r="Y6" s="315" t="s">
        <v>194</v>
      </c>
    </row>
    <row r="7" spans="1:28" ht="24" customHeight="1" x14ac:dyDescent="0.15">
      <c r="A7" s="150">
        <v>1</v>
      </c>
      <c r="B7" s="151" t="str">
        <f>TEXT(DATE(YEAR(영업현황!$A$2),$A$1,A7),"aaa")</f>
        <v>수</v>
      </c>
      <c r="C7" s="430"/>
      <c r="D7" s="152" t="str">
        <f>IF(C7="","",D5+C7)</f>
        <v/>
      </c>
      <c r="E7" s="152" t="str">
        <f>IF(C7="","",E6+C7)</f>
        <v/>
      </c>
      <c r="F7" s="449">
        <f>ROUND($F$5/30,0)+Y5</f>
        <v>62517919</v>
      </c>
      <c r="G7" s="430">
        <v>70097118</v>
      </c>
      <c r="H7" s="154"/>
      <c r="I7" s="152">
        <f t="shared" ref="I7:I35" si="0">IF(G7="","",G7-F7)</f>
        <v>7579199</v>
      </c>
      <c r="J7" s="153">
        <f>IF(F7="","",J5+F7)</f>
        <v>62517919</v>
      </c>
      <c r="K7" s="152">
        <f>IF(G7="","",K5+G7)</f>
        <v>70097118</v>
      </c>
      <c r="L7" s="154">
        <f t="shared" ref="L7:L15" si="1">IF(K7="","",K7/J7*100)</f>
        <v>112.12324261784849</v>
      </c>
      <c r="M7" s="155">
        <f t="shared" ref="M7:M15" si="2">IF(K7="","",K7-J7)</f>
        <v>7579199</v>
      </c>
      <c r="N7" s="451">
        <f>IF(F7="","",N6+F7)</f>
        <v>23307935856</v>
      </c>
      <c r="O7" s="155">
        <f>IF(G7="","",O6+G7)</f>
        <v>23142294373</v>
      </c>
      <c r="P7" s="154">
        <f t="shared" ref="P7:P15" si="3">IF(O7="","",O7/N7*100)</f>
        <v>99.289334396561941</v>
      </c>
      <c r="Q7" s="173">
        <f t="shared" ref="Q7:Q15" si="4">IF(O7="","",O7-N7)</f>
        <v>-165641483</v>
      </c>
      <c r="R7" s="430">
        <v>51880820</v>
      </c>
      <c r="S7" s="154">
        <f t="shared" ref="S7:S34" si="5">IF(G7=0,"",G7/R7*100)</f>
        <v>135.11181588880052</v>
      </c>
      <c r="T7" s="155">
        <f>R7</f>
        <v>51880820</v>
      </c>
      <c r="U7" s="157">
        <f t="shared" ref="U7:U16" si="6">IF(K7="","",K7/T7*100)</f>
        <v>135.11181588880052</v>
      </c>
      <c r="V7" s="156">
        <f>V6+R7</f>
        <v>24218116507</v>
      </c>
      <c r="W7" s="158">
        <f t="shared" ref="W7:W16" si="7">IF(O7="","",O7/V7*100)</f>
        <v>95.557779509033892</v>
      </c>
      <c r="Y7" s="314" t="str">
        <f>TEXT(DATE(YEAR(영업현황!$A$2)-1,$A$1,A7),"aaa")</f>
        <v>화</v>
      </c>
      <c r="Z7" s="184"/>
      <c r="AA7" s="234"/>
      <c r="AB7" s="234"/>
    </row>
    <row r="8" spans="1:28" ht="24" customHeight="1" x14ac:dyDescent="0.15">
      <c r="A8" s="99">
        <f>A7+1</f>
        <v>2</v>
      </c>
      <c r="B8" s="151" t="str">
        <f>TEXT(DATE(YEAR(영업현황!$A$2),$A$1,A8),"aaa")</f>
        <v>목</v>
      </c>
      <c r="C8" s="431"/>
      <c r="D8" s="100" t="str">
        <f t="shared" ref="D8:D35" si="8">IF(C8="","",D7+C8)</f>
        <v/>
      </c>
      <c r="E8" s="100" t="str">
        <f t="shared" ref="E8:E35" si="9">IF(C8="","",E7+C8)</f>
        <v/>
      </c>
      <c r="F8" s="101">
        <f>ROUND($F$5/30,0)</f>
        <v>62517912</v>
      </c>
      <c r="G8" s="431">
        <v>74487054</v>
      </c>
      <c r="H8" s="102"/>
      <c r="I8" s="100">
        <f t="shared" si="0"/>
        <v>11969142</v>
      </c>
      <c r="J8" s="101">
        <f>IF(F8="","",J7+F8)</f>
        <v>125035831</v>
      </c>
      <c r="K8" s="100">
        <f>IF(G8="","",K7+G8)</f>
        <v>144584172</v>
      </c>
      <c r="L8" s="102">
        <f t="shared" si="1"/>
        <v>115.63419129033501</v>
      </c>
      <c r="M8" s="103">
        <f t="shared" si="2"/>
        <v>19548341</v>
      </c>
      <c r="N8" s="104">
        <f t="shared" ref="N8:N36" si="10">IF(F8="","",N7+F8)</f>
        <v>23370453768</v>
      </c>
      <c r="O8" s="103">
        <f t="shared" ref="O8:O35" si="11">IF(G8="","",O7+G8)</f>
        <v>23216781427</v>
      </c>
      <c r="P8" s="102">
        <f t="shared" si="3"/>
        <v>99.342450332691385</v>
      </c>
      <c r="Q8" s="174">
        <f t="shared" si="4"/>
        <v>-153672341</v>
      </c>
      <c r="R8" s="431">
        <v>69049195</v>
      </c>
      <c r="S8" s="102">
        <f t="shared" si="5"/>
        <v>107.87534018318389</v>
      </c>
      <c r="T8" s="103">
        <f>T7+R8</f>
        <v>120930015</v>
      </c>
      <c r="U8" s="137">
        <f t="shared" si="6"/>
        <v>119.56020347801993</v>
      </c>
      <c r="V8" s="136">
        <f t="shared" ref="V8:V34" si="12">V7+R8</f>
        <v>24287165702</v>
      </c>
      <c r="W8" s="138">
        <f t="shared" si="7"/>
        <v>95.592798731093367</v>
      </c>
      <c r="Y8" s="314" t="str">
        <f>TEXT(DATE(YEAR(영업현황!$A$2)-1,$A$1,A8),"aaa")</f>
        <v>수</v>
      </c>
      <c r="Z8" s="184"/>
      <c r="AB8" s="234"/>
    </row>
    <row r="9" spans="1:28" ht="24" customHeight="1" x14ac:dyDescent="0.15">
      <c r="A9" s="99">
        <f t="shared" ref="A9:A37" si="13">A8+1</f>
        <v>3</v>
      </c>
      <c r="B9" s="151" t="str">
        <f>TEXT(DATE(YEAR(영업현황!$A$2),$A$1,A9),"aaa")</f>
        <v>금</v>
      </c>
      <c r="C9" s="431"/>
      <c r="D9" s="100" t="str">
        <f t="shared" si="8"/>
        <v/>
      </c>
      <c r="E9" s="100" t="str">
        <f t="shared" si="9"/>
        <v/>
      </c>
      <c r="F9" s="101">
        <f t="shared" ref="F9:F37" si="14">ROUND($F$5/30,0)</f>
        <v>62517912</v>
      </c>
      <c r="G9" s="431">
        <v>60576870</v>
      </c>
      <c r="H9" s="102"/>
      <c r="I9" s="100">
        <f t="shared" si="0"/>
        <v>-1941042</v>
      </c>
      <c r="J9" s="101">
        <f t="shared" ref="J9:J15" si="15">IF(F9="","",J8+F9)</f>
        <v>187553743</v>
      </c>
      <c r="K9" s="100">
        <f t="shared" ref="K9:K35" si="16">IF(G9="","",K8+G9)</f>
        <v>205161042</v>
      </c>
      <c r="L9" s="102">
        <f t="shared" si="1"/>
        <v>109.38786862814037</v>
      </c>
      <c r="M9" s="103">
        <f t="shared" si="2"/>
        <v>17607299</v>
      </c>
      <c r="N9" s="104">
        <f t="shared" si="10"/>
        <v>23432971680</v>
      </c>
      <c r="O9" s="103">
        <f t="shared" si="11"/>
        <v>23277358297</v>
      </c>
      <c r="P9" s="102">
        <f t="shared" si="3"/>
        <v>99.33592126032903</v>
      </c>
      <c r="Q9" s="174">
        <f t="shared" si="4"/>
        <v>-155613383</v>
      </c>
      <c r="R9" s="431">
        <v>62956682</v>
      </c>
      <c r="S9" s="102">
        <f t="shared" si="5"/>
        <v>96.219921500945688</v>
      </c>
      <c r="T9" s="103">
        <f t="shared" ref="T9:T34" si="17">T8+R9</f>
        <v>183886697</v>
      </c>
      <c r="U9" s="137">
        <f t="shared" si="6"/>
        <v>111.56926811296198</v>
      </c>
      <c r="V9" s="136">
        <f t="shared" si="12"/>
        <v>24350122384</v>
      </c>
      <c r="W9" s="138">
        <f t="shared" si="7"/>
        <v>95.594420142607191</v>
      </c>
      <c r="Y9" s="314" t="str">
        <f>TEXT(DATE(YEAR(영업현황!$A$2)-1,$A$1,A9),"aaa")</f>
        <v>목</v>
      </c>
      <c r="Z9" s="184"/>
    </row>
    <row r="10" spans="1:28" ht="24" customHeight="1" x14ac:dyDescent="0.15">
      <c r="A10" s="99">
        <f t="shared" si="13"/>
        <v>4</v>
      </c>
      <c r="B10" s="151" t="str">
        <f>TEXT(DATE(YEAR(영업현황!$A$2),$A$1,A10),"aaa")</f>
        <v>토</v>
      </c>
      <c r="C10" s="431"/>
      <c r="D10" s="100" t="str">
        <f t="shared" si="8"/>
        <v/>
      </c>
      <c r="E10" s="100" t="str">
        <f t="shared" si="9"/>
        <v/>
      </c>
      <c r="F10" s="101">
        <f t="shared" si="14"/>
        <v>62517912</v>
      </c>
      <c r="G10" s="431">
        <v>71954079</v>
      </c>
      <c r="H10" s="102"/>
      <c r="I10" s="100">
        <f t="shared" si="0"/>
        <v>9436167</v>
      </c>
      <c r="J10" s="101">
        <f t="shared" si="15"/>
        <v>250071655</v>
      </c>
      <c r="K10" s="100">
        <f t="shared" si="16"/>
        <v>277115121</v>
      </c>
      <c r="L10" s="102">
        <f t="shared" si="1"/>
        <v>110.81428680911478</v>
      </c>
      <c r="M10" s="103">
        <f t="shared" si="2"/>
        <v>27043466</v>
      </c>
      <c r="N10" s="104">
        <f t="shared" si="10"/>
        <v>23495489592</v>
      </c>
      <c r="O10" s="103">
        <f t="shared" si="11"/>
        <v>23349312376</v>
      </c>
      <c r="P10" s="102">
        <f t="shared" si="3"/>
        <v>99.377849882941902</v>
      </c>
      <c r="Q10" s="174">
        <f t="shared" si="4"/>
        <v>-146177216</v>
      </c>
      <c r="R10" s="431">
        <v>74221845</v>
      </c>
      <c r="S10" s="102">
        <f t="shared" si="5"/>
        <v>96.944611118195724</v>
      </c>
      <c r="T10" s="103">
        <f t="shared" si="17"/>
        <v>258108542</v>
      </c>
      <c r="U10" s="137">
        <f t="shared" si="6"/>
        <v>107.36379309755661</v>
      </c>
      <c r="V10" s="136">
        <f t="shared" si="12"/>
        <v>24424344229</v>
      </c>
      <c r="W10" s="138">
        <f t="shared" si="7"/>
        <v>95.59852316639244</v>
      </c>
      <c r="Y10" s="314" t="str">
        <f>TEXT(DATE(YEAR(영업현황!$A$2)-1,$A$1,A10),"aaa")</f>
        <v>금</v>
      </c>
      <c r="Z10" s="184"/>
    </row>
    <row r="11" spans="1:28" ht="24" customHeight="1" x14ac:dyDescent="0.15">
      <c r="A11" s="99">
        <f t="shared" si="13"/>
        <v>5</v>
      </c>
      <c r="B11" s="151" t="str">
        <f>TEXT(DATE(YEAR(영업현황!$A$2),$A$1,A11),"aaa")</f>
        <v>일</v>
      </c>
      <c r="C11" s="176"/>
      <c r="D11" s="100" t="str">
        <f t="shared" si="8"/>
        <v/>
      </c>
      <c r="E11" s="100" t="str">
        <f t="shared" si="9"/>
        <v/>
      </c>
      <c r="F11" s="101">
        <f t="shared" si="14"/>
        <v>62517912</v>
      </c>
      <c r="G11" s="176">
        <v>71447580</v>
      </c>
      <c r="H11" s="102"/>
      <c r="I11" s="100">
        <f t="shared" si="0"/>
        <v>8929668</v>
      </c>
      <c r="J11" s="101">
        <f t="shared" si="15"/>
        <v>312589567</v>
      </c>
      <c r="K11" s="100">
        <f t="shared" si="16"/>
        <v>348562701</v>
      </c>
      <c r="L11" s="102">
        <f t="shared" si="1"/>
        <v>111.50810449153603</v>
      </c>
      <c r="M11" s="103">
        <f t="shared" si="2"/>
        <v>35973134</v>
      </c>
      <c r="N11" s="104">
        <f t="shared" si="10"/>
        <v>23558007504</v>
      </c>
      <c r="O11" s="103">
        <f t="shared" si="11"/>
        <v>23420759956</v>
      </c>
      <c r="P11" s="102">
        <f t="shared" si="3"/>
        <v>99.417405958561247</v>
      </c>
      <c r="Q11" s="174">
        <f t="shared" si="4"/>
        <v>-137247548</v>
      </c>
      <c r="R11" s="176">
        <v>73706898</v>
      </c>
      <c r="S11" s="102">
        <f t="shared" si="5"/>
        <v>96.93472651637029</v>
      </c>
      <c r="T11" s="103">
        <f t="shared" si="17"/>
        <v>331815440</v>
      </c>
      <c r="U11" s="137">
        <f t="shared" si="6"/>
        <v>105.04716145818892</v>
      </c>
      <c r="V11" s="136">
        <f t="shared" si="12"/>
        <v>24498051127</v>
      </c>
      <c r="W11" s="138">
        <f t="shared" si="7"/>
        <v>95.602543380225512</v>
      </c>
      <c r="Y11" s="314" t="str">
        <f>TEXT(DATE(YEAR(영업현황!$A$2)-1,$A$1,A11),"aaa")</f>
        <v>토</v>
      </c>
      <c r="Z11" s="184"/>
    </row>
    <row r="12" spans="1:28" ht="24" customHeight="1" x14ac:dyDescent="0.15">
      <c r="A12" s="99">
        <f t="shared" si="13"/>
        <v>6</v>
      </c>
      <c r="B12" s="151" t="str">
        <f>TEXT(DATE(YEAR(영업현황!$A$2),$A$1,A12),"aaa")</f>
        <v>월</v>
      </c>
      <c r="C12" s="431"/>
      <c r="D12" s="100" t="str">
        <f t="shared" si="8"/>
        <v/>
      </c>
      <c r="E12" s="100" t="str">
        <f t="shared" si="9"/>
        <v/>
      </c>
      <c r="F12" s="101">
        <f t="shared" si="14"/>
        <v>62517912</v>
      </c>
      <c r="G12" s="431">
        <v>53614870</v>
      </c>
      <c r="H12" s="102"/>
      <c r="I12" s="100">
        <f t="shared" si="0"/>
        <v>-8903042</v>
      </c>
      <c r="J12" s="101">
        <f t="shared" si="15"/>
        <v>375107479</v>
      </c>
      <c r="K12" s="100">
        <f t="shared" si="16"/>
        <v>402177571</v>
      </c>
      <c r="L12" s="102">
        <f t="shared" si="1"/>
        <v>107.21662283891706</v>
      </c>
      <c r="M12" s="103">
        <f t="shared" si="2"/>
        <v>27070092</v>
      </c>
      <c r="N12" s="104">
        <f t="shared" si="10"/>
        <v>23620525416</v>
      </c>
      <c r="O12" s="103">
        <f t="shared" si="11"/>
        <v>23474374826</v>
      </c>
      <c r="P12" s="102">
        <f t="shared" si="3"/>
        <v>99.381255973666853</v>
      </c>
      <c r="Q12" s="174">
        <f t="shared" si="4"/>
        <v>-146150590</v>
      </c>
      <c r="R12" s="431">
        <v>58472957</v>
      </c>
      <c r="S12" s="102">
        <f t="shared" si="5"/>
        <v>91.691737087967013</v>
      </c>
      <c r="T12" s="103">
        <f t="shared" si="17"/>
        <v>390288397</v>
      </c>
      <c r="U12" s="137">
        <f t="shared" si="6"/>
        <v>103.04625351186138</v>
      </c>
      <c r="V12" s="136">
        <f t="shared" si="12"/>
        <v>24556524084</v>
      </c>
      <c r="W12" s="138">
        <f t="shared" si="7"/>
        <v>95.593231133615191</v>
      </c>
      <c r="Y12" s="314" t="str">
        <f>TEXT(DATE(YEAR(영업현황!$A$2)-1,$A$1,A12),"aaa")</f>
        <v>일</v>
      </c>
      <c r="Z12" s="184"/>
    </row>
    <row r="13" spans="1:28" ht="24" customHeight="1" x14ac:dyDescent="0.15">
      <c r="A13" s="99">
        <f t="shared" si="13"/>
        <v>7</v>
      </c>
      <c r="B13" s="151" t="str">
        <f>TEXT(DATE(YEAR(영업현황!$A$2),$A$1,A13),"aaa")</f>
        <v>화</v>
      </c>
      <c r="C13" s="431"/>
      <c r="D13" s="100" t="str">
        <f t="shared" si="8"/>
        <v/>
      </c>
      <c r="E13" s="100" t="str">
        <f t="shared" si="9"/>
        <v/>
      </c>
      <c r="F13" s="101">
        <f t="shared" si="14"/>
        <v>62517912</v>
      </c>
      <c r="G13" s="431">
        <v>48915766</v>
      </c>
      <c r="H13" s="102"/>
      <c r="I13" s="100">
        <f t="shared" si="0"/>
        <v>-13602146</v>
      </c>
      <c r="J13" s="101">
        <f t="shared" si="15"/>
        <v>437625391</v>
      </c>
      <c r="K13" s="100">
        <f t="shared" si="16"/>
        <v>451093337</v>
      </c>
      <c r="L13" s="102">
        <f t="shared" si="1"/>
        <v>103.07750561941229</v>
      </c>
      <c r="M13" s="103">
        <f t="shared" si="2"/>
        <v>13467946</v>
      </c>
      <c r="N13" s="104">
        <f t="shared" si="10"/>
        <v>23683043328</v>
      </c>
      <c r="O13" s="103">
        <f t="shared" si="11"/>
        <v>23523290592</v>
      </c>
      <c r="P13" s="102">
        <f t="shared" si="3"/>
        <v>99.325455205281287</v>
      </c>
      <c r="Q13" s="174">
        <f t="shared" si="4"/>
        <v>-159752736</v>
      </c>
      <c r="R13" s="176">
        <v>53142993</v>
      </c>
      <c r="S13" s="102">
        <f t="shared" si="5"/>
        <v>92.045560926536453</v>
      </c>
      <c r="T13" s="103">
        <f t="shared" si="17"/>
        <v>443431390</v>
      </c>
      <c r="U13" s="137">
        <f t="shared" si="6"/>
        <v>101.72787654928985</v>
      </c>
      <c r="V13" s="136">
        <f t="shared" si="12"/>
        <v>24609667077</v>
      </c>
      <c r="W13" s="138">
        <f t="shared" si="7"/>
        <v>95.585570168012069</v>
      </c>
      <c r="Y13" s="314" t="str">
        <f>TEXT(DATE(YEAR(영업현황!$A$2)-1,$A$1,A13),"aaa")</f>
        <v>월</v>
      </c>
      <c r="Z13" s="184"/>
    </row>
    <row r="14" spans="1:28" ht="24" customHeight="1" x14ac:dyDescent="0.15">
      <c r="A14" s="99">
        <f t="shared" si="13"/>
        <v>8</v>
      </c>
      <c r="B14" s="151" t="str">
        <f>TEXT(DATE(YEAR(영업현황!$A$2),$A$1,A14),"aaa")</f>
        <v>수</v>
      </c>
      <c r="C14" s="431"/>
      <c r="D14" s="100" t="str">
        <f t="shared" si="8"/>
        <v/>
      </c>
      <c r="E14" s="100" t="str">
        <f t="shared" si="9"/>
        <v/>
      </c>
      <c r="F14" s="101">
        <f t="shared" si="14"/>
        <v>62517912</v>
      </c>
      <c r="G14" s="431">
        <v>69894394</v>
      </c>
      <c r="H14" s="102"/>
      <c r="I14" s="100">
        <f t="shared" si="0"/>
        <v>7376482</v>
      </c>
      <c r="J14" s="101">
        <f t="shared" si="15"/>
        <v>500143303</v>
      </c>
      <c r="K14" s="100">
        <f t="shared" si="16"/>
        <v>520987731</v>
      </c>
      <c r="L14" s="102">
        <f t="shared" si="1"/>
        <v>104.16769111472037</v>
      </c>
      <c r="M14" s="103">
        <f t="shared" si="2"/>
        <v>20844428</v>
      </c>
      <c r="N14" s="104">
        <f t="shared" si="10"/>
        <v>23745561240</v>
      </c>
      <c r="O14" s="103">
        <f t="shared" si="11"/>
        <v>23593184986</v>
      </c>
      <c r="P14" s="102">
        <f t="shared" si="3"/>
        <v>99.358295841231509</v>
      </c>
      <c r="Q14" s="174">
        <f t="shared" si="4"/>
        <v>-152376254</v>
      </c>
      <c r="R14" s="431">
        <v>50040322</v>
      </c>
      <c r="S14" s="102">
        <f t="shared" si="5"/>
        <v>139.67614756755563</v>
      </c>
      <c r="T14" s="103">
        <f t="shared" si="17"/>
        <v>493471712</v>
      </c>
      <c r="U14" s="137">
        <f t="shared" si="6"/>
        <v>105.57600736392362</v>
      </c>
      <c r="V14" s="136">
        <f t="shared" si="12"/>
        <v>24659707399</v>
      </c>
      <c r="W14" s="138">
        <f t="shared" si="7"/>
        <v>95.675040276255473</v>
      </c>
      <c r="Y14" s="314" t="str">
        <f>TEXT(DATE(YEAR(영업현황!$A$2)-1,$A$1,A14),"aaa")</f>
        <v>화</v>
      </c>
      <c r="Z14" s="184"/>
    </row>
    <row r="15" spans="1:28" ht="24" customHeight="1" x14ac:dyDescent="0.15">
      <c r="A15" s="99">
        <f t="shared" si="13"/>
        <v>9</v>
      </c>
      <c r="B15" s="151" t="str">
        <f>TEXT(DATE(YEAR(영업현황!$A$2),$A$1,A15),"aaa")</f>
        <v>목</v>
      </c>
      <c r="C15" s="431"/>
      <c r="D15" s="100" t="str">
        <f t="shared" si="8"/>
        <v/>
      </c>
      <c r="E15" s="100" t="str">
        <f t="shared" si="9"/>
        <v/>
      </c>
      <c r="F15" s="101">
        <f t="shared" si="14"/>
        <v>62517912</v>
      </c>
      <c r="G15" s="431">
        <v>73399291</v>
      </c>
      <c r="H15" s="102"/>
      <c r="I15" s="100">
        <f t="shared" si="0"/>
        <v>10881379</v>
      </c>
      <c r="J15" s="101">
        <f t="shared" si="15"/>
        <v>562661215</v>
      </c>
      <c r="K15" s="100">
        <f t="shared" si="16"/>
        <v>594387022</v>
      </c>
      <c r="L15" s="102">
        <f t="shared" si="1"/>
        <v>105.63852743964235</v>
      </c>
      <c r="M15" s="103">
        <f t="shared" si="2"/>
        <v>31725807</v>
      </c>
      <c r="N15" s="104">
        <f t="shared" si="10"/>
        <v>23808079152</v>
      </c>
      <c r="O15" s="103">
        <f t="shared" si="11"/>
        <v>23666584277</v>
      </c>
      <c r="P15" s="102">
        <f t="shared" si="3"/>
        <v>99.405685464599472</v>
      </c>
      <c r="Q15" s="174">
        <f t="shared" si="4"/>
        <v>-141494875</v>
      </c>
      <c r="R15" s="431">
        <v>70070547</v>
      </c>
      <c r="S15" s="102">
        <f t="shared" si="5"/>
        <v>104.75056088830019</v>
      </c>
      <c r="T15" s="103">
        <f t="shared" si="17"/>
        <v>563542259</v>
      </c>
      <c r="U15" s="137">
        <f t="shared" si="6"/>
        <v>105.4733717848833</v>
      </c>
      <c r="V15" s="136">
        <f t="shared" si="12"/>
        <v>24729777946</v>
      </c>
      <c r="W15" s="138">
        <f t="shared" si="7"/>
        <v>95.700755294602359</v>
      </c>
      <c r="Y15" s="314" t="str">
        <f>TEXT(DATE(YEAR(영업현황!$A$2)-1,$A$1,A15),"aaa")</f>
        <v>수</v>
      </c>
      <c r="Z15" s="184"/>
    </row>
    <row r="16" spans="1:28" ht="24" customHeight="1" x14ac:dyDescent="0.15">
      <c r="A16" s="99">
        <f t="shared" si="13"/>
        <v>10</v>
      </c>
      <c r="B16" s="151" t="str">
        <f>TEXT(DATE(YEAR(영업현황!$A$2),$A$1,A16),"aaa")</f>
        <v>금</v>
      </c>
      <c r="C16" s="431"/>
      <c r="D16" s="100" t="str">
        <f t="shared" si="8"/>
        <v/>
      </c>
      <c r="E16" s="100" t="str">
        <f t="shared" si="9"/>
        <v/>
      </c>
      <c r="F16" s="101">
        <f t="shared" si="14"/>
        <v>62517912</v>
      </c>
      <c r="G16" s="431">
        <v>72012328</v>
      </c>
      <c r="H16" s="102"/>
      <c r="I16" s="100">
        <f t="shared" si="0"/>
        <v>9494416</v>
      </c>
      <c r="J16" s="101">
        <f>IF(F16="","",J15+F16)</f>
        <v>625179127</v>
      </c>
      <c r="K16" s="100">
        <f t="shared" si="16"/>
        <v>666399350</v>
      </c>
      <c r="L16" s="102">
        <f>IF(K16="","",K16/J16*100)</f>
        <v>106.593346005936</v>
      </c>
      <c r="M16" s="103">
        <f>IF(K16="","",K16-J16)</f>
        <v>41220223</v>
      </c>
      <c r="N16" s="104">
        <f t="shared" si="10"/>
        <v>23870597064</v>
      </c>
      <c r="O16" s="103">
        <f t="shared" si="11"/>
        <v>23738596605</v>
      </c>
      <c r="P16" s="102">
        <f>IF(O16="","",O16/N16*100)</f>
        <v>99.447016517240471</v>
      </c>
      <c r="Q16" s="174">
        <f>IF(O16="","",O16-N16)</f>
        <v>-132000459</v>
      </c>
      <c r="R16" s="431">
        <v>73392200</v>
      </c>
      <c r="S16" s="102">
        <f t="shared" si="5"/>
        <v>98.119865598796608</v>
      </c>
      <c r="T16" s="103">
        <f t="shared" si="17"/>
        <v>636934459</v>
      </c>
      <c r="U16" s="137">
        <f t="shared" si="6"/>
        <v>104.62604756009912</v>
      </c>
      <c r="V16" s="136">
        <f t="shared" si="12"/>
        <v>24803170146</v>
      </c>
      <c r="W16" s="138">
        <f t="shared" si="7"/>
        <v>95.707913404885119</v>
      </c>
      <c r="Y16" s="314" t="str">
        <f>TEXT(DATE(YEAR(영업현황!$A$2)-1,$A$1,A16),"aaa")</f>
        <v>목</v>
      </c>
      <c r="Z16" s="184"/>
    </row>
    <row r="17" spans="1:26" ht="24" customHeight="1" x14ac:dyDescent="0.15">
      <c r="A17" s="99">
        <f t="shared" si="13"/>
        <v>11</v>
      </c>
      <c r="B17" s="151" t="str">
        <f>TEXT(DATE(YEAR(영업현황!$A$2),$A$1,A17),"aaa")</f>
        <v>토</v>
      </c>
      <c r="C17" s="431"/>
      <c r="D17" s="100" t="str">
        <f t="shared" si="8"/>
        <v/>
      </c>
      <c r="E17" s="100" t="str">
        <f t="shared" si="9"/>
        <v/>
      </c>
      <c r="F17" s="101">
        <f t="shared" si="14"/>
        <v>62517912</v>
      </c>
      <c r="G17" s="431">
        <v>71550154</v>
      </c>
      <c r="H17" s="102"/>
      <c r="I17" s="100">
        <f t="shared" si="0"/>
        <v>9032242</v>
      </c>
      <c r="J17" s="101">
        <f t="shared" ref="J17:J36" si="18">IF(F17="","",J16+F17)</f>
        <v>687697039</v>
      </c>
      <c r="K17" s="100">
        <f t="shared" si="16"/>
        <v>737949504</v>
      </c>
      <c r="L17" s="102">
        <f t="shared" ref="L17:L35" si="19">IF(K17="","",K17/J17*100)</f>
        <v>107.30735515061596</v>
      </c>
      <c r="M17" s="103">
        <f t="shared" ref="M17:M35" si="20">IF(K17="","",K17-J17)</f>
        <v>50252465</v>
      </c>
      <c r="N17" s="104">
        <f t="shared" si="10"/>
        <v>23933114976</v>
      </c>
      <c r="O17" s="103">
        <f t="shared" si="11"/>
        <v>23810146759</v>
      </c>
      <c r="P17" s="102">
        <f t="shared" ref="P17:P35" si="21">IF(O17="","",O17/N17*100)</f>
        <v>99.486200533765398</v>
      </c>
      <c r="Q17" s="174">
        <f t="shared" ref="Q17:Q35" si="22">IF(O17="","",O17-N17)</f>
        <v>-122968217</v>
      </c>
      <c r="R17" s="431">
        <v>73705150</v>
      </c>
      <c r="S17" s="102">
        <f t="shared" si="5"/>
        <v>97.076193454595781</v>
      </c>
      <c r="T17" s="103">
        <f t="shared" si="17"/>
        <v>710639609</v>
      </c>
      <c r="U17" s="137">
        <f>IF(K17="","",K17/T17*100)</f>
        <v>103.84300208630786</v>
      </c>
      <c r="V17" s="136">
        <f t="shared" si="12"/>
        <v>24876875296</v>
      </c>
      <c r="W17" s="138">
        <f>IF(O17="","",O17/V17*100)</f>
        <v>95.711967341929309</v>
      </c>
      <c r="Y17" s="314" t="str">
        <f>TEXT(DATE(YEAR(영업현황!$A$2)-1,$A$1,A17),"aaa")</f>
        <v>금</v>
      </c>
      <c r="Z17" s="184"/>
    </row>
    <row r="18" spans="1:26" ht="24" customHeight="1" x14ac:dyDescent="0.15">
      <c r="A18" s="99">
        <f t="shared" si="13"/>
        <v>12</v>
      </c>
      <c r="B18" s="151" t="str">
        <f>TEXT(DATE(YEAR(영업현황!$A$2),$A$1,A18),"aaa")</f>
        <v>일</v>
      </c>
      <c r="C18" s="176"/>
      <c r="D18" s="100" t="str">
        <f t="shared" si="8"/>
        <v/>
      </c>
      <c r="E18" s="100" t="str">
        <f t="shared" si="9"/>
        <v/>
      </c>
      <c r="F18" s="101">
        <f t="shared" si="14"/>
        <v>62517912</v>
      </c>
      <c r="G18" s="176">
        <v>70115574</v>
      </c>
      <c r="H18" s="102"/>
      <c r="I18" s="100">
        <f t="shared" si="0"/>
        <v>7597662</v>
      </c>
      <c r="J18" s="101">
        <f t="shared" si="18"/>
        <v>750214951</v>
      </c>
      <c r="K18" s="100">
        <f t="shared" si="16"/>
        <v>808065078</v>
      </c>
      <c r="L18" s="102">
        <f t="shared" si="19"/>
        <v>107.71114024359134</v>
      </c>
      <c r="M18" s="103">
        <f t="shared" si="20"/>
        <v>57850127</v>
      </c>
      <c r="N18" s="104">
        <f t="shared" si="10"/>
        <v>23995632888</v>
      </c>
      <c r="O18" s="103">
        <f t="shared" si="11"/>
        <v>23880262333</v>
      </c>
      <c r="P18" s="102">
        <f t="shared" si="21"/>
        <v>99.519201866695937</v>
      </c>
      <c r="Q18" s="174">
        <f t="shared" si="22"/>
        <v>-115370555</v>
      </c>
      <c r="R18" s="176">
        <v>72923707</v>
      </c>
      <c r="S18" s="102">
        <f t="shared" si="5"/>
        <v>96.149217976535397</v>
      </c>
      <c r="T18" s="103">
        <f t="shared" si="17"/>
        <v>783563316</v>
      </c>
      <c r="U18" s="137">
        <f t="shared" ref="U18:U34" si="23">IF(K18="","",K18/T18*100)</f>
        <v>103.12696644925627</v>
      </c>
      <c r="V18" s="136">
        <f t="shared" si="12"/>
        <v>24949799003</v>
      </c>
      <c r="W18" s="138">
        <f t="shared" ref="W18:W34" si="24">IF(O18="","",O18/V18*100)</f>
        <v>95.713245345698382</v>
      </c>
      <c r="Y18" s="314" t="str">
        <f>TEXT(DATE(YEAR(영업현황!$A$2)-1,$A$1,A18),"aaa")</f>
        <v>토</v>
      </c>
      <c r="Z18" s="184"/>
    </row>
    <row r="19" spans="1:26" ht="24" customHeight="1" x14ac:dyDescent="0.15">
      <c r="A19" s="99">
        <f t="shared" si="13"/>
        <v>13</v>
      </c>
      <c r="B19" s="151" t="str">
        <f>TEXT(DATE(YEAR(영업현황!$A$2),$A$1,A19),"aaa")</f>
        <v>월</v>
      </c>
      <c r="C19" s="431"/>
      <c r="D19" s="100" t="str">
        <f t="shared" si="8"/>
        <v/>
      </c>
      <c r="E19" s="100" t="str">
        <f t="shared" si="9"/>
        <v/>
      </c>
      <c r="F19" s="101">
        <f t="shared" si="14"/>
        <v>62517912</v>
      </c>
      <c r="G19" s="431">
        <v>55094846</v>
      </c>
      <c r="H19" s="102"/>
      <c r="I19" s="100">
        <f t="shared" si="0"/>
        <v>-7423066</v>
      </c>
      <c r="J19" s="101">
        <f t="shared" si="18"/>
        <v>812732863</v>
      </c>
      <c r="K19" s="100">
        <f t="shared" si="16"/>
        <v>863159924</v>
      </c>
      <c r="L19" s="102">
        <f t="shared" si="19"/>
        <v>106.20462925712899</v>
      </c>
      <c r="M19" s="103">
        <f t="shared" si="20"/>
        <v>50427061</v>
      </c>
      <c r="N19" s="104">
        <f t="shared" si="10"/>
        <v>24058150800</v>
      </c>
      <c r="O19" s="103">
        <f t="shared" si="11"/>
        <v>23935357179</v>
      </c>
      <c r="P19" s="102">
        <f t="shared" si="21"/>
        <v>99.489596594431518</v>
      </c>
      <c r="Q19" s="174">
        <f t="shared" si="22"/>
        <v>-122793621</v>
      </c>
      <c r="R19" s="431">
        <v>69903310</v>
      </c>
      <c r="S19" s="102">
        <f t="shared" si="5"/>
        <v>78.815789981904999</v>
      </c>
      <c r="T19" s="103">
        <f t="shared" si="17"/>
        <v>853466626</v>
      </c>
      <c r="U19" s="137">
        <f t="shared" si="23"/>
        <v>101.13575595163343</v>
      </c>
      <c r="V19" s="136">
        <f t="shared" si="12"/>
        <v>25019702313</v>
      </c>
      <c r="W19" s="138">
        <f t="shared" si="24"/>
        <v>95.666035029375294</v>
      </c>
      <c r="Y19" s="314" t="str">
        <f>TEXT(DATE(YEAR(영업현황!$A$2)-1,$A$1,A19),"aaa")</f>
        <v>일</v>
      </c>
      <c r="Z19" s="184"/>
    </row>
    <row r="20" spans="1:26" ht="24" customHeight="1" x14ac:dyDescent="0.15">
      <c r="A20" s="99">
        <f t="shared" si="13"/>
        <v>14</v>
      </c>
      <c r="B20" s="151" t="str">
        <f>TEXT(DATE(YEAR(영업현황!$A$2),$A$1,A20),"aaa")</f>
        <v>화</v>
      </c>
      <c r="C20" s="431"/>
      <c r="D20" s="100" t="str">
        <f t="shared" si="8"/>
        <v/>
      </c>
      <c r="E20" s="100" t="str">
        <f t="shared" si="9"/>
        <v/>
      </c>
      <c r="F20" s="101">
        <f t="shared" si="14"/>
        <v>62517912</v>
      </c>
      <c r="G20" s="431">
        <v>48211550</v>
      </c>
      <c r="H20" s="102"/>
      <c r="I20" s="100">
        <f t="shared" si="0"/>
        <v>-14306362</v>
      </c>
      <c r="J20" s="101">
        <f t="shared" si="18"/>
        <v>875250775</v>
      </c>
      <c r="K20" s="100">
        <f t="shared" si="16"/>
        <v>911371474</v>
      </c>
      <c r="L20" s="102">
        <f t="shared" si="19"/>
        <v>104.12689711700057</v>
      </c>
      <c r="M20" s="103">
        <f t="shared" si="20"/>
        <v>36120699</v>
      </c>
      <c r="N20" s="104">
        <f t="shared" si="10"/>
        <v>24120668712</v>
      </c>
      <c r="O20" s="103">
        <f t="shared" si="11"/>
        <v>23983568729</v>
      </c>
      <c r="P20" s="102">
        <f t="shared" si="21"/>
        <v>99.431607868600295</v>
      </c>
      <c r="Q20" s="174">
        <f t="shared" si="22"/>
        <v>-137099983</v>
      </c>
      <c r="R20" s="176">
        <v>55707826</v>
      </c>
      <c r="S20" s="102">
        <f t="shared" si="5"/>
        <v>86.543585456018334</v>
      </c>
      <c r="T20" s="103">
        <f t="shared" si="17"/>
        <v>909174452</v>
      </c>
      <c r="U20" s="137">
        <f t="shared" si="23"/>
        <v>100.24165021302206</v>
      </c>
      <c r="V20" s="136">
        <f t="shared" si="12"/>
        <v>25075410139</v>
      </c>
      <c r="W20" s="138">
        <f t="shared" si="24"/>
        <v>95.645768488141897</v>
      </c>
      <c r="Y20" s="314" t="str">
        <f>TEXT(DATE(YEAR(영업현황!$A$2)-1,$A$1,A20),"aaa")</f>
        <v>월</v>
      </c>
      <c r="Z20" s="184"/>
    </row>
    <row r="21" spans="1:26" ht="24" customHeight="1" x14ac:dyDescent="0.15">
      <c r="A21" s="99">
        <f t="shared" si="13"/>
        <v>15</v>
      </c>
      <c r="B21" s="151" t="str">
        <f>TEXT(DATE(YEAR(영업현황!$A$2),$A$1,A21),"aaa")</f>
        <v>수</v>
      </c>
      <c r="C21" s="431"/>
      <c r="D21" s="100" t="str">
        <f t="shared" si="8"/>
        <v/>
      </c>
      <c r="E21" s="100" t="str">
        <f t="shared" si="9"/>
        <v/>
      </c>
      <c r="F21" s="101">
        <f t="shared" si="14"/>
        <v>62517912</v>
      </c>
      <c r="G21" s="431">
        <v>68590530</v>
      </c>
      <c r="H21" s="102"/>
      <c r="I21" s="100">
        <f t="shared" si="0"/>
        <v>6072618</v>
      </c>
      <c r="J21" s="101">
        <f t="shared" si="18"/>
        <v>937768687</v>
      </c>
      <c r="K21" s="100">
        <f t="shared" si="16"/>
        <v>979962004</v>
      </c>
      <c r="L21" s="102">
        <f t="shared" si="19"/>
        <v>104.49933097414245</v>
      </c>
      <c r="M21" s="103">
        <f t="shared" si="20"/>
        <v>42193317</v>
      </c>
      <c r="N21" s="104">
        <f t="shared" si="10"/>
        <v>24183186624</v>
      </c>
      <c r="O21" s="103">
        <f t="shared" si="11"/>
        <v>24052159259</v>
      </c>
      <c r="P21" s="102">
        <f t="shared" si="21"/>
        <v>99.458188174134321</v>
      </c>
      <c r="Q21" s="174">
        <f t="shared" si="22"/>
        <v>-131027365</v>
      </c>
      <c r="R21" s="431">
        <v>49998868</v>
      </c>
      <c r="S21" s="102">
        <f t="shared" si="5"/>
        <v>137.18416584951484</v>
      </c>
      <c r="T21" s="103">
        <f t="shared" si="17"/>
        <v>959173320</v>
      </c>
      <c r="U21" s="137">
        <f t="shared" si="23"/>
        <v>102.16735427962071</v>
      </c>
      <c r="V21" s="136">
        <f t="shared" si="12"/>
        <v>25125409007</v>
      </c>
      <c r="W21" s="138">
        <f t="shared" si="24"/>
        <v>95.728428748359917</v>
      </c>
      <c r="Y21" s="314" t="str">
        <f>TEXT(DATE(YEAR(영업현황!$A$2)-1,$A$1,A21),"aaa")</f>
        <v>화</v>
      </c>
      <c r="Z21" s="184"/>
    </row>
    <row r="22" spans="1:26" ht="24" customHeight="1" x14ac:dyDescent="0.15">
      <c r="A22" s="99">
        <f t="shared" si="13"/>
        <v>16</v>
      </c>
      <c r="B22" s="151" t="str">
        <f>TEXT(DATE(YEAR(영업현황!$A$2),$A$1,A22),"aaa")</f>
        <v>목</v>
      </c>
      <c r="C22" s="431"/>
      <c r="D22" s="100" t="str">
        <f t="shared" si="8"/>
        <v/>
      </c>
      <c r="E22" s="100" t="str">
        <f t="shared" si="9"/>
        <v/>
      </c>
      <c r="F22" s="101">
        <f t="shared" si="14"/>
        <v>62517912</v>
      </c>
      <c r="G22" s="431">
        <v>71994730</v>
      </c>
      <c r="H22" s="102"/>
      <c r="I22" s="100">
        <f t="shared" si="0"/>
        <v>9476818</v>
      </c>
      <c r="J22" s="101">
        <f t="shared" si="18"/>
        <v>1000286599</v>
      </c>
      <c r="K22" s="100">
        <f t="shared" si="16"/>
        <v>1051956734</v>
      </c>
      <c r="L22" s="102">
        <f t="shared" si="19"/>
        <v>105.16553306338956</v>
      </c>
      <c r="M22" s="103">
        <f t="shared" si="20"/>
        <v>51670135</v>
      </c>
      <c r="N22" s="104">
        <f t="shared" si="10"/>
        <v>24245704536</v>
      </c>
      <c r="O22" s="103">
        <f t="shared" si="11"/>
        <v>24124153989</v>
      </c>
      <c r="P22" s="102">
        <f t="shared" si="21"/>
        <v>99.498671829397566</v>
      </c>
      <c r="Q22" s="174">
        <f t="shared" si="22"/>
        <v>-121550547</v>
      </c>
      <c r="R22" s="431">
        <v>70369417</v>
      </c>
      <c r="S22" s="102">
        <f t="shared" si="5"/>
        <v>102.3096866071805</v>
      </c>
      <c r="T22" s="103">
        <f t="shared" si="17"/>
        <v>1029542737</v>
      </c>
      <c r="U22" s="137">
        <f t="shared" si="23"/>
        <v>102.17708271783962</v>
      </c>
      <c r="V22" s="136">
        <f t="shared" si="12"/>
        <v>25195778424</v>
      </c>
      <c r="W22" s="138">
        <f t="shared" si="24"/>
        <v>95.746809576721645</v>
      </c>
      <c r="Y22" s="314" t="str">
        <f>TEXT(DATE(YEAR(영업현황!$A$2)-1,$A$1,A22),"aaa")</f>
        <v>수</v>
      </c>
      <c r="Z22" s="184"/>
    </row>
    <row r="23" spans="1:26" ht="24" customHeight="1" x14ac:dyDescent="0.15">
      <c r="A23" s="99">
        <f t="shared" si="13"/>
        <v>17</v>
      </c>
      <c r="B23" s="151" t="str">
        <f>TEXT(DATE(YEAR(영업현황!$A$2),$A$1,A23),"aaa")</f>
        <v>금</v>
      </c>
      <c r="C23" s="431"/>
      <c r="D23" s="100" t="str">
        <f t="shared" si="8"/>
        <v/>
      </c>
      <c r="E23" s="100" t="str">
        <f t="shared" si="9"/>
        <v/>
      </c>
      <c r="F23" s="101">
        <f t="shared" si="14"/>
        <v>62517912</v>
      </c>
      <c r="G23" s="431">
        <v>71250023</v>
      </c>
      <c r="H23" s="102"/>
      <c r="I23" s="100">
        <f t="shared" si="0"/>
        <v>8732111</v>
      </c>
      <c r="J23" s="101">
        <f t="shared" si="18"/>
        <v>1062804511</v>
      </c>
      <c r="K23" s="100">
        <f t="shared" si="16"/>
        <v>1123206757</v>
      </c>
      <c r="L23" s="102">
        <f t="shared" si="19"/>
        <v>105.68328844814245</v>
      </c>
      <c r="M23" s="103">
        <f t="shared" si="20"/>
        <v>60402246</v>
      </c>
      <c r="N23" s="104">
        <f t="shared" si="10"/>
        <v>24308222448</v>
      </c>
      <c r="O23" s="103">
        <f t="shared" si="11"/>
        <v>24195404012</v>
      </c>
      <c r="P23" s="102">
        <f t="shared" si="21"/>
        <v>99.535883644962766</v>
      </c>
      <c r="Q23" s="174">
        <f t="shared" si="22"/>
        <v>-112818436</v>
      </c>
      <c r="R23" s="431">
        <v>73485063</v>
      </c>
      <c r="S23" s="102">
        <f t="shared" si="5"/>
        <v>96.958511146680252</v>
      </c>
      <c r="T23" s="103">
        <f t="shared" si="17"/>
        <v>1103027800</v>
      </c>
      <c r="U23" s="137">
        <f t="shared" si="23"/>
        <v>101.82941508817819</v>
      </c>
      <c r="V23" s="136">
        <f t="shared" si="12"/>
        <v>25269263487</v>
      </c>
      <c r="W23" s="138">
        <f t="shared" si="24"/>
        <v>95.750333302937548</v>
      </c>
      <c r="Y23" s="314" t="str">
        <f>TEXT(DATE(YEAR(영업현황!$A$2)-1,$A$1,A23),"aaa")</f>
        <v>목</v>
      </c>
      <c r="Z23" s="184"/>
    </row>
    <row r="24" spans="1:26" ht="24" customHeight="1" x14ac:dyDescent="0.15">
      <c r="A24" s="99">
        <f t="shared" si="13"/>
        <v>18</v>
      </c>
      <c r="B24" s="151" t="str">
        <f>TEXT(DATE(YEAR(영업현황!$A$2),$A$1,A24),"aaa")</f>
        <v>토</v>
      </c>
      <c r="C24" s="431"/>
      <c r="D24" s="100" t="str">
        <f t="shared" si="8"/>
        <v/>
      </c>
      <c r="E24" s="100" t="str">
        <f t="shared" si="9"/>
        <v/>
      </c>
      <c r="F24" s="101">
        <f t="shared" si="14"/>
        <v>62517912</v>
      </c>
      <c r="G24" s="431">
        <v>71874014</v>
      </c>
      <c r="H24" s="102"/>
      <c r="I24" s="100">
        <f t="shared" si="0"/>
        <v>9356102</v>
      </c>
      <c r="J24" s="101">
        <f t="shared" si="18"/>
        <v>1125322423</v>
      </c>
      <c r="K24" s="100">
        <f t="shared" si="16"/>
        <v>1195080771</v>
      </c>
      <c r="L24" s="102">
        <f t="shared" si="19"/>
        <v>106.19896543197203</v>
      </c>
      <c r="M24" s="103">
        <f t="shared" si="20"/>
        <v>69758348</v>
      </c>
      <c r="N24" s="104">
        <f t="shared" si="10"/>
        <v>24370740360</v>
      </c>
      <c r="O24" s="103">
        <f t="shared" si="11"/>
        <v>24267278026</v>
      </c>
      <c r="P24" s="102">
        <f t="shared" si="21"/>
        <v>99.575464953170595</v>
      </c>
      <c r="Q24" s="174">
        <f t="shared" si="22"/>
        <v>-103462334</v>
      </c>
      <c r="R24" s="431">
        <v>73029455</v>
      </c>
      <c r="S24" s="102">
        <f t="shared" si="5"/>
        <v>98.417842499303873</v>
      </c>
      <c r="T24" s="103">
        <f t="shared" si="17"/>
        <v>1176057255</v>
      </c>
      <c r="U24" s="137">
        <f t="shared" si="23"/>
        <v>101.61756716512922</v>
      </c>
      <c r="V24" s="136">
        <f t="shared" si="12"/>
        <v>25342292942</v>
      </c>
      <c r="W24" s="138">
        <f t="shared" si="24"/>
        <v>95.758020324126363</v>
      </c>
      <c r="Y24" s="314" t="str">
        <f>TEXT(DATE(YEAR(영업현황!$A$2)-1,$A$1,A24),"aaa")</f>
        <v>금</v>
      </c>
      <c r="Z24" s="184"/>
    </row>
    <row r="25" spans="1:26" ht="24" customHeight="1" x14ac:dyDescent="0.15">
      <c r="A25" s="99">
        <f t="shared" si="13"/>
        <v>19</v>
      </c>
      <c r="B25" s="151" t="str">
        <f>TEXT(DATE(YEAR(영업현황!$A$2),$A$1,A25),"aaa")</f>
        <v>일</v>
      </c>
      <c r="C25" s="176"/>
      <c r="D25" s="100" t="str">
        <f t="shared" si="8"/>
        <v/>
      </c>
      <c r="E25" s="100" t="str">
        <f t="shared" si="9"/>
        <v/>
      </c>
      <c r="F25" s="101">
        <f t="shared" si="14"/>
        <v>62517912</v>
      </c>
      <c r="G25" s="176">
        <v>69413638</v>
      </c>
      <c r="H25" s="102"/>
      <c r="I25" s="100">
        <f t="shared" si="0"/>
        <v>6895726</v>
      </c>
      <c r="J25" s="101">
        <f t="shared" si="18"/>
        <v>1187840335</v>
      </c>
      <c r="K25" s="100">
        <f t="shared" si="16"/>
        <v>1264494409</v>
      </c>
      <c r="L25" s="102">
        <f t="shared" si="19"/>
        <v>106.45323043353297</v>
      </c>
      <c r="M25" s="103">
        <f t="shared" si="20"/>
        <v>76654074</v>
      </c>
      <c r="N25" s="104">
        <f t="shared" si="10"/>
        <v>24433258272</v>
      </c>
      <c r="O25" s="103">
        <f t="shared" si="11"/>
        <v>24336691664</v>
      </c>
      <c r="P25" s="102">
        <f t="shared" si="21"/>
        <v>99.604773923620897</v>
      </c>
      <c r="Q25" s="174">
        <f t="shared" si="22"/>
        <v>-96566608</v>
      </c>
      <c r="R25" s="176">
        <v>72913849</v>
      </c>
      <c r="S25" s="102">
        <f t="shared" si="5"/>
        <v>95.199525127249828</v>
      </c>
      <c r="T25" s="103">
        <f t="shared" si="17"/>
        <v>1248971104</v>
      </c>
      <c r="U25" s="137">
        <f t="shared" si="23"/>
        <v>101.24288744153363</v>
      </c>
      <c r="V25" s="136">
        <f t="shared" si="12"/>
        <v>25415206791</v>
      </c>
      <c r="W25" s="138">
        <f t="shared" si="24"/>
        <v>95.756418053690908</v>
      </c>
      <c r="Y25" s="314" t="str">
        <f>TEXT(DATE(YEAR(영업현황!$A$2)-1,$A$1,A25),"aaa")</f>
        <v>토</v>
      </c>
      <c r="Z25" s="184"/>
    </row>
    <row r="26" spans="1:26" ht="24" customHeight="1" x14ac:dyDescent="0.15">
      <c r="A26" s="99">
        <f t="shared" si="13"/>
        <v>20</v>
      </c>
      <c r="B26" s="151" t="str">
        <f>TEXT(DATE(YEAR(영업현황!$A$2),$A$1,A26),"aaa")</f>
        <v>월</v>
      </c>
      <c r="C26" s="431"/>
      <c r="D26" s="100" t="str">
        <f t="shared" si="8"/>
        <v/>
      </c>
      <c r="E26" s="100" t="str">
        <f t="shared" si="9"/>
        <v/>
      </c>
      <c r="F26" s="101">
        <f t="shared" si="14"/>
        <v>62517912</v>
      </c>
      <c r="G26" s="431">
        <v>54218739</v>
      </c>
      <c r="H26" s="102"/>
      <c r="I26" s="100">
        <f t="shared" si="0"/>
        <v>-8299173</v>
      </c>
      <c r="J26" s="101">
        <f t="shared" si="18"/>
        <v>1250358247</v>
      </c>
      <c r="K26" s="100">
        <f t="shared" si="16"/>
        <v>1318713148</v>
      </c>
      <c r="L26" s="102">
        <f t="shared" si="19"/>
        <v>105.46682530098911</v>
      </c>
      <c r="M26" s="103">
        <f t="shared" si="20"/>
        <v>68354901</v>
      </c>
      <c r="N26" s="104">
        <f t="shared" si="10"/>
        <v>24495776184</v>
      </c>
      <c r="O26" s="103">
        <f t="shared" si="11"/>
        <v>24390910403</v>
      </c>
      <c r="P26" s="102">
        <f t="shared" si="21"/>
        <v>99.571902599810272</v>
      </c>
      <c r="Q26" s="174">
        <f t="shared" si="22"/>
        <v>-104865781</v>
      </c>
      <c r="R26" s="431">
        <v>70903244</v>
      </c>
      <c r="S26" s="102">
        <f t="shared" si="5"/>
        <v>76.468629559459927</v>
      </c>
      <c r="T26" s="103">
        <f t="shared" si="17"/>
        <v>1319874348</v>
      </c>
      <c r="U26" s="137">
        <f t="shared" si="23"/>
        <v>99.912021928317685</v>
      </c>
      <c r="V26" s="136">
        <f t="shared" si="12"/>
        <v>25486110035</v>
      </c>
      <c r="W26" s="138">
        <f t="shared" si="24"/>
        <v>95.702758755667432</v>
      </c>
      <c r="Y26" s="314" t="str">
        <f>TEXT(DATE(YEAR(영업현황!$A$2)-1,$A$1,A26),"aaa")</f>
        <v>일</v>
      </c>
      <c r="Z26" s="184"/>
    </row>
    <row r="27" spans="1:26" ht="24" customHeight="1" x14ac:dyDescent="0.15">
      <c r="A27" s="99">
        <f t="shared" si="13"/>
        <v>21</v>
      </c>
      <c r="B27" s="151" t="str">
        <f>TEXT(DATE(YEAR(영업현황!$A$2),$A$1,A27),"aaa")</f>
        <v>화</v>
      </c>
      <c r="C27" s="431"/>
      <c r="D27" s="100" t="str">
        <f t="shared" si="8"/>
        <v/>
      </c>
      <c r="E27" s="100" t="str">
        <f t="shared" si="9"/>
        <v/>
      </c>
      <c r="F27" s="101">
        <f t="shared" si="14"/>
        <v>62517912</v>
      </c>
      <c r="G27" s="431">
        <v>47570329</v>
      </c>
      <c r="H27" s="102"/>
      <c r="I27" s="100">
        <f t="shared" si="0"/>
        <v>-14947583</v>
      </c>
      <c r="J27" s="101">
        <f t="shared" si="18"/>
        <v>1312876159</v>
      </c>
      <c r="K27" s="100">
        <f t="shared" si="16"/>
        <v>1366283477</v>
      </c>
      <c r="L27" s="102">
        <f t="shared" si="19"/>
        <v>104.06796312309301</v>
      </c>
      <c r="M27" s="103">
        <f t="shared" si="20"/>
        <v>53407318</v>
      </c>
      <c r="N27" s="104">
        <f t="shared" si="10"/>
        <v>24558294096</v>
      </c>
      <c r="O27" s="103">
        <f t="shared" si="11"/>
        <v>24438480732</v>
      </c>
      <c r="P27" s="102">
        <f t="shared" si="21"/>
        <v>99.512126683019417</v>
      </c>
      <c r="Q27" s="174">
        <f t="shared" si="22"/>
        <v>-119813364</v>
      </c>
      <c r="R27" s="176">
        <v>53131764</v>
      </c>
      <c r="S27" s="102">
        <f t="shared" si="5"/>
        <v>89.53274918559076</v>
      </c>
      <c r="T27" s="103">
        <f t="shared" si="17"/>
        <v>1373006112</v>
      </c>
      <c r="U27" s="137">
        <f t="shared" si="23"/>
        <v>99.510371079833916</v>
      </c>
      <c r="V27" s="136">
        <f t="shared" si="12"/>
        <v>25539241799</v>
      </c>
      <c r="W27" s="138">
        <f t="shared" si="24"/>
        <v>95.689922685789753</v>
      </c>
      <c r="Y27" s="314" t="str">
        <f>TEXT(DATE(YEAR(영업현황!$A$2)-1,$A$1,A27),"aaa")</f>
        <v>월</v>
      </c>
      <c r="Z27" s="184"/>
    </row>
    <row r="28" spans="1:26" ht="24" customHeight="1" x14ac:dyDescent="0.15">
      <c r="A28" s="99">
        <f t="shared" si="13"/>
        <v>22</v>
      </c>
      <c r="B28" s="151" t="str">
        <f>TEXT(DATE(YEAR(영업현황!$A$2),$A$1,A28),"aaa")</f>
        <v>수</v>
      </c>
      <c r="C28" s="431"/>
      <c r="D28" s="100" t="str">
        <f t="shared" si="8"/>
        <v/>
      </c>
      <c r="E28" s="100" t="str">
        <f t="shared" si="9"/>
        <v/>
      </c>
      <c r="F28" s="101">
        <f t="shared" si="14"/>
        <v>62517912</v>
      </c>
      <c r="G28" s="431">
        <v>66648267</v>
      </c>
      <c r="H28" s="102"/>
      <c r="I28" s="100">
        <f t="shared" si="0"/>
        <v>4130355</v>
      </c>
      <c r="J28" s="101">
        <f t="shared" si="18"/>
        <v>1375394071</v>
      </c>
      <c r="K28" s="100">
        <f t="shared" si="16"/>
        <v>1432931744</v>
      </c>
      <c r="L28" s="102">
        <f t="shared" si="19"/>
        <v>104.18335909781598</v>
      </c>
      <c r="M28" s="103">
        <f t="shared" si="20"/>
        <v>57537673</v>
      </c>
      <c r="N28" s="104">
        <f t="shared" si="10"/>
        <v>24620812008</v>
      </c>
      <c r="O28" s="103">
        <f t="shared" si="11"/>
        <v>24505128999</v>
      </c>
      <c r="P28" s="102">
        <f t="shared" si="21"/>
        <v>99.530141374043993</v>
      </c>
      <c r="Q28" s="174">
        <f t="shared" si="22"/>
        <v>-115683009</v>
      </c>
      <c r="R28" s="431">
        <v>48320499</v>
      </c>
      <c r="S28" s="102">
        <f t="shared" si="5"/>
        <v>137.92959174531703</v>
      </c>
      <c r="T28" s="103">
        <f t="shared" si="17"/>
        <v>1421326611</v>
      </c>
      <c r="U28" s="137">
        <f t="shared" si="23"/>
        <v>100.81650008591868</v>
      </c>
      <c r="V28" s="136">
        <f t="shared" si="12"/>
        <v>25587562298</v>
      </c>
      <c r="W28" s="138">
        <f t="shared" si="24"/>
        <v>95.769689639076688</v>
      </c>
      <c r="Y28" s="314" t="str">
        <f>TEXT(DATE(YEAR(영업현황!$A$2)-1,$A$1,A28),"aaa")</f>
        <v>화</v>
      </c>
      <c r="Z28" s="184"/>
    </row>
    <row r="29" spans="1:26" ht="24" customHeight="1" x14ac:dyDescent="0.15">
      <c r="A29" s="99">
        <f t="shared" si="13"/>
        <v>23</v>
      </c>
      <c r="B29" s="151" t="str">
        <f>TEXT(DATE(YEAR(영업현황!$A$2),$A$1,A29),"aaa")</f>
        <v>목</v>
      </c>
      <c r="C29" s="431"/>
      <c r="D29" s="100" t="str">
        <f t="shared" si="8"/>
        <v/>
      </c>
      <c r="E29" s="100" t="str">
        <f t="shared" si="9"/>
        <v/>
      </c>
      <c r="F29" s="101">
        <f t="shared" si="14"/>
        <v>62517912</v>
      </c>
      <c r="G29" s="431">
        <v>72486465</v>
      </c>
      <c r="H29" s="102"/>
      <c r="I29" s="100">
        <f t="shared" si="0"/>
        <v>9968553</v>
      </c>
      <c r="J29" s="101">
        <f t="shared" si="18"/>
        <v>1437911983</v>
      </c>
      <c r="K29" s="100">
        <f t="shared" si="16"/>
        <v>1505418209</v>
      </c>
      <c r="L29" s="102">
        <f t="shared" si="19"/>
        <v>104.6947397892295</v>
      </c>
      <c r="M29" s="103">
        <f t="shared" si="20"/>
        <v>67506226</v>
      </c>
      <c r="N29" s="104">
        <f t="shared" si="10"/>
        <v>24683329920</v>
      </c>
      <c r="O29" s="103">
        <f t="shared" si="11"/>
        <v>24577615464</v>
      </c>
      <c r="P29" s="102">
        <f t="shared" si="21"/>
        <v>99.571717202084869</v>
      </c>
      <c r="Q29" s="174">
        <f t="shared" si="22"/>
        <v>-105714456</v>
      </c>
      <c r="R29" s="431">
        <v>67823964</v>
      </c>
      <c r="S29" s="102">
        <f t="shared" si="5"/>
        <v>106.8744153615085</v>
      </c>
      <c r="T29" s="103">
        <f t="shared" si="17"/>
        <v>1489150575</v>
      </c>
      <c r="U29" s="137">
        <f t="shared" si="23"/>
        <v>101.09241028228458</v>
      </c>
      <c r="V29" s="136">
        <f t="shared" si="12"/>
        <v>25655386262</v>
      </c>
      <c r="W29" s="138">
        <f t="shared" si="24"/>
        <v>95.799046691429623</v>
      </c>
      <c r="Y29" s="314" t="str">
        <f>TEXT(DATE(YEAR(영업현황!$A$2)-1,$A$1,A29),"aaa")</f>
        <v>수</v>
      </c>
      <c r="Z29" s="184"/>
    </row>
    <row r="30" spans="1:26" ht="24" customHeight="1" x14ac:dyDescent="0.15">
      <c r="A30" s="99">
        <f t="shared" si="13"/>
        <v>24</v>
      </c>
      <c r="B30" s="151" t="str">
        <f>TEXT(DATE(YEAR(영업현황!$A$2),$A$1,A30),"aaa")</f>
        <v>금</v>
      </c>
      <c r="C30" s="431"/>
      <c r="D30" s="100" t="str">
        <f t="shared" si="8"/>
        <v/>
      </c>
      <c r="E30" s="100" t="str">
        <f t="shared" si="9"/>
        <v/>
      </c>
      <c r="F30" s="101">
        <f t="shared" si="14"/>
        <v>62517912</v>
      </c>
      <c r="G30" s="431">
        <v>70154961</v>
      </c>
      <c r="H30" s="102"/>
      <c r="I30" s="100">
        <f t="shared" si="0"/>
        <v>7637049</v>
      </c>
      <c r="J30" s="101">
        <f t="shared" si="18"/>
        <v>1500429895</v>
      </c>
      <c r="K30" s="100">
        <f t="shared" si="16"/>
        <v>1575573170</v>
      </c>
      <c r="L30" s="102">
        <f t="shared" si="19"/>
        <v>105.00811635721242</v>
      </c>
      <c r="M30" s="103">
        <f t="shared" si="20"/>
        <v>75143275</v>
      </c>
      <c r="N30" s="104">
        <f t="shared" si="10"/>
        <v>24745847832</v>
      </c>
      <c r="O30" s="103">
        <f t="shared" si="11"/>
        <v>24647770425</v>
      </c>
      <c r="P30" s="102">
        <f t="shared" si="21"/>
        <v>99.603661156951063</v>
      </c>
      <c r="Q30" s="174">
        <f t="shared" si="22"/>
        <v>-98077407</v>
      </c>
      <c r="R30" s="431">
        <v>72053631</v>
      </c>
      <c r="S30" s="102">
        <f t="shared" si="5"/>
        <v>97.36492113770089</v>
      </c>
      <c r="T30" s="103">
        <f t="shared" si="17"/>
        <v>1561204206</v>
      </c>
      <c r="U30" s="137">
        <f t="shared" si="23"/>
        <v>100.92037697213327</v>
      </c>
      <c r="V30" s="136">
        <f t="shared" si="12"/>
        <v>25727439893</v>
      </c>
      <c r="W30" s="138">
        <f t="shared" si="24"/>
        <v>95.803432162351456</v>
      </c>
      <c r="Y30" s="314" t="str">
        <f>TEXT(DATE(YEAR(영업현황!$A$2)-1,$A$1,A30),"aaa")</f>
        <v>목</v>
      </c>
      <c r="Z30" s="184"/>
    </row>
    <row r="31" spans="1:26" ht="24" customHeight="1" x14ac:dyDescent="0.15">
      <c r="A31" s="99">
        <f t="shared" si="13"/>
        <v>25</v>
      </c>
      <c r="B31" s="151" t="str">
        <f>TEXT(DATE(YEAR(영업현황!$A$2),$A$1,A31),"aaa")</f>
        <v>토</v>
      </c>
      <c r="C31" s="431"/>
      <c r="D31" s="100" t="str">
        <f t="shared" si="8"/>
        <v/>
      </c>
      <c r="E31" s="100" t="str">
        <f t="shared" si="9"/>
        <v/>
      </c>
      <c r="F31" s="101">
        <f t="shared" si="14"/>
        <v>62517912</v>
      </c>
      <c r="G31" s="431">
        <v>70900693</v>
      </c>
      <c r="H31" s="102"/>
      <c r="I31" s="100">
        <f t="shared" si="0"/>
        <v>8382781</v>
      </c>
      <c r="J31" s="101">
        <f t="shared" si="18"/>
        <v>1562947807</v>
      </c>
      <c r="K31" s="100">
        <f t="shared" si="16"/>
        <v>1646473863</v>
      </c>
      <c r="L31" s="102">
        <f t="shared" si="19"/>
        <v>105.34413597344137</v>
      </c>
      <c r="M31" s="103">
        <f t="shared" si="20"/>
        <v>83526056</v>
      </c>
      <c r="N31" s="104">
        <f t="shared" si="10"/>
        <v>24808365744</v>
      </c>
      <c r="O31" s="103">
        <f t="shared" si="11"/>
        <v>24718671118</v>
      </c>
      <c r="P31" s="102">
        <f t="shared" si="21"/>
        <v>99.638450082018423</v>
      </c>
      <c r="Q31" s="174">
        <f t="shared" si="22"/>
        <v>-89694626</v>
      </c>
      <c r="R31" s="431">
        <v>71763381</v>
      </c>
      <c r="S31" s="102">
        <f t="shared" si="5"/>
        <v>98.797871577427486</v>
      </c>
      <c r="T31" s="103">
        <f t="shared" si="17"/>
        <v>1632967587</v>
      </c>
      <c r="U31" s="137">
        <f t="shared" si="23"/>
        <v>100.82710006662245</v>
      </c>
      <c r="V31" s="136">
        <f t="shared" si="12"/>
        <v>25799203274</v>
      </c>
      <c r="W31" s="138">
        <f t="shared" si="24"/>
        <v>95.811761531841782</v>
      </c>
      <c r="Y31" s="314" t="str">
        <f>TEXT(DATE(YEAR(영업현황!$A$2)-1,$A$1,A31),"aaa")</f>
        <v>금</v>
      </c>
      <c r="Z31" s="184"/>
    </row>
    <row r="32" spans="1:26" ht="24" customHeight="1" x14ac:dyDescent="0.15">
      <c r="A32" s="99">
        <f t="shared" si="13"/>
        <v>26</v>
      </c>
      <c r="B32" s="151" t="str">
        <f>TEXT(DATE(YEAR(영업현황!$A$2),$A$1,A32),"aaa")</f>
        <v>일</v>
      </c>
      <c r="C32" s="176"/>
      <c r="D32" s="100" t="str">
        <f t="shared" si="8"/>
        <v/>
      </c>
      <c r="E32" s="100" t="str">
        <f t="shared" si="9"/>
        <v/>
      </c>
      <c r="F32" s="101">
        <f t="shared" si="14"/>
        <v>62517912</v>
      </c>
      <c r="G32" s="176">
        <v>67345280</v>
      </c>
      <c r="H32" s="102"/>
      <c r="I32" s="100">
        <f t="shared" si="0"/>
        <v>4827368</v>
      </c>
      <c r="J32" s="101">
        <f t="shared" si="18"/>
        <v>1625465719</v>
      </c>
      <c r="K32" s="100">
        <f t="shared" si="16"/>
        <v>1713819143</v>
      </c>
      <c r="L32" s="102">
        <f t="shared" si="19"/>
        <v>105.4355759686126</v>
      </c>
      <c r="M32" s="103">
        <f t="shared" si="20"/>
        <v>88353424</v>
      </c>
      <c r="N32" s="104">
        <f t="shared" si="10"/>
        <v>24870883656</v>
      </c>
      <c r="O32" s="103">
        <f t="shared" si="11"/>
        <v>24786016398</v>
      </c>
      <c r="P32" s="102">
        <f t="shared" si="21"/>
        <v>99.658768626101761</v>
      </c>
      <c r="Q32" s="174">
        <f t="shared" si="22"/>
        <v>-84867258</v>
      </c>
      <c r="R32" s="176">
        <v>70600500</v>
      </c>
      <c r="S32" s="102">
        <f t="shared" si="5"/>
        <v>95.389239452978387</v>
      </c>
      <c r="T32" s="103">
        <f t="shared" si="17"/>
        <v>1703568087</v>
      </c>
      <c r="U32" s="137">
        <f t="shared" si="23"/>
        <v>100.60174031658767</v>
      </c>
      <c r="V32" s="136">
        <f t="shared" si="12"/>
        <v>25869803774</v>
      </c>
      <c r="W32" s="138">
        <f t="shared" si="24"/>
        <v>95.810608439599989</v>
      </c>
      <c r="Y32" s="314" t="str">
        <f>TEXT(DATE(YEAR(영업현황!$A$2)-1,$A$1,A32),"aaa")</f>
        <v>토</v>
      </c>
      <c r="Z32" s="184"/>
    </row>
    <row r="33" spans="1:26" ht="24" customHeight="1" x14ac:dyDescent="0.15">
      <c r="A33" s="99">
        <f t="shared" si="13"/>
        <v>27</v>
      </c>
      <c r="B33" s="151" t="str">
        <f>TEXT(DATE(YEAR(영업현황!$A$2),$A$1,A33),"aaa")</f>
        <v>월</v>
      </c>
      <c r="C33" s="431"/>
      <c r="D33" s="100" t="str">
        <f t="shared" si="8"/>
        <v/>
      </c>
      <c r="E33" s="100" t="str">
        <f t="shared" si="9"/>
        <v/>
      </c>
      <c r="F33" s="101">
        <f t="shared" si="14"/>
        <v>62517912</v>
      </c>
      <c r="G33" s="431">
        <v>54190782</v>
      </c>
      <c r="H33" s="102"/>
      <c r="I33" s="100">
        <f t="shared" si="0"/>
        <v>-8327130</v>
      </c>
      <c r="J33" s="101">
        <f t="shared" si="18"/>
        <v>1687983631</v>
      </c>
      <c r="K33" s="100">
        <f t="shared" si="16"/>
        <v>1768009925</v>
      </c>
      <c r="L33" s="102">
        <f t="shared" si="19"/>
        <v>104.74094016851281</v>
      </c>
      <c r="M33" s="103">
        <f t="shared" si="20"/>
        <v>80026294</v>
      </c>
      <c r="N33" s="104">
        <f t="shared" si="10"/>
        <v>24933401568</v>
      </c>
      <c r="O33" s="103">
        <f t="shared" si="11"/>
        <v>24840207180</v>
      </c>
      <c r="P33" s="102">
        <f t="shared" si="21"/>
        <v>99.626226739477033</v>
      </c>
      <c r="Q33" s="174">
        <f t="shared" si="22"/>
        <v>-93194388</v>
      </c>
      <c r="R33" s="431">
        <v>68826979</v>
      </c>
      <c r="S33" s="102">
        <f t="shared" si="5"/>
        <v>78.734796713945556</v>
      </c>
      <c r="T33" s="103">
        <f t="shared" si="17"/>
        <v>1772395066</v>
      </c>
      <c r="U33" s="137">
        <f t="shared" si="23"/>
        <v>99.752586706873629</v>
      </c>
      <c r="V33" s="136">
        <f t="shared" si="12"/>
        <v>25938630753</v>
      </c>
      <c r="W33" s="138">
        <f t="shared" si="24"/>
        <v>95.76529854848657</v>
      </c>
      <c r="Y33" s="314" t="str">
        <f>TEXT(DATE(YEAR(영업현황!$A$2)-1,$A$1,A33),"aaa")</f>
        <v>일</v>
      </c>
      <c r="Z33" s="184"/>
    </row>
    <row r="34" spans="1:26" ht="24" customHeight="1" x14ac:dyDescent="0.15">
      <c r="A34" s="99">
        <f t="shared" si="13"/>
        <v>28</v>
      </c>
      <c r="B34" s="151" t="str">
        <f>TEXT(DATE(YEAR(영업현황!$A$2),$A$1,A34),"aaa")</f>
        <v>화</v>
      </c>
      <c r="C34" s="431"/>
      <c r="D34" s="100" t="str">
        <f t="shared" si="8"/>
        <v/>
      </c>
      <c r="E34" s="100" t="str">
        <f t="shared" si="9"/>
        <v/>
      </c>
      <c r="F34" s="101">
        <f t="shared" si="14"/>
        <v>62517912</v>
      </c>
      <c r="G34" s="431">
        <v>48177961</v>
      </c>
      <c r="H34" s="102"/>
      <c r="I34" s="100">
        <f t="shared" si="0"/>
        <v>-14339951</v>
      </c>
      <c r="J34" s="101">
        <f t="shared" si="18"/>
        <v>1750501543</v>
      </c>
      <c r="K34" s="100">
        <f t="shared" si="16"/>
        <v>1816187886</v>
      </c>
      <c r="L34" s="102">
        <f t="shared" si="19"/>
        <v>103.75242988289099</v>
      </c>
      <c r="M34" s="103">
        <f t="shared" si="20"/>
        <v>65686343</v>
      </c>
      <c r="N34" s="104">
        <f t="shared" si="10"/>
        <v>24995919480</v>
      </c>
      <c r="O34" s="103">
        <f t="shared" si="11"/>
        <v>24888385141</v>
      </c>
      <c r="P34" s="102">
        <f t="shared" si="21"/>
        <v>99.569792425175478</v>
      </c>
      <c r="Q34" s="174">
        <f t="shared" si="22"/>
        <v>-107534339</v>
      </c>
      <c r="R34" s="176">
        <v>54098700</v>
      </c>
      <c r="S34" s="102">
        <f t="shared" si="5"/>
        <v>89.055672317449407</v>
      </c>
      <c r="T34" s="103">
        <f t="shared" si="17"/>
        <v>1826493766</v>
      </c>
      <c r="U34" s="137">
        <f t="shared" si="23"/>
        <v>99.435756081304902</v>
      </c>
      <c r="V34" s="136">
        <f t="shared" si="12"/>
        <v>25992729453</v>
      </c>
      <c r="W34" s="138">
        <f t="shared" si="24"/>
        <v>95.751333795102695</v>
      </c>
      <c r="Y34" s="314" t="str">
        <f>TEXT(DATE(YEAR(영업현황!$A$2)-1,$A$1,A34),"aaa")</f>
        <v>월</v>
      </c>
      <c r="Z34" s="184"/>
    </row>
    <row r="35" spans="1:26" ht="24" customHeight="1" x14ac:dyDescent="0.15">
      <c r="A35" s="99">
        <f t="shared" si="13"/>
        <v>29</v>
      </c>
      <c r="B35" s="151" t="str">
        <f>TEXT(DATE(YEAR(영업현황!$A$2),$A$1,A35),"aaa")</f>
        <v>수</v>
      </c>
      <c r="C35" s="431"/>
      <c r="D35" s="100" t="str">
        <f t="shared" si="8"/>
        <v/>
      </c>
      <c r="E35" s="100" t="str">
        <f t="shared" si="9"/>
        <v/>
      </c>
      <c r="F35" s="101">
        <f t="shared" si="14"/>
        <v>62517912</v>
      </c>
      <c r="G35" s="431">
        <v>67005639</v>
      </c>
      <c r="H35" s="102"/>
      <c r="I35" s="100">
        <f t="shared" si="0"/>
        <v>4487727</v>
      </c>
      <c r="J35" s="101">
        <f t="shared" si="18"/>
        <v>1813019455</v>
      </c>
      <c r="K35" s="100">
        <f t="shared" si="16"/>
        <v>1883193525</v>
      </c>
      <c r="L35" s="102">
        <f t="shared" si="19"/>
        <v>103.87056354009174</v>
      </c>
      <c r="M35" s="103">
        <f t="shared" si="20"/>
        <v>70174070</v>
      </c>
      <c r="N35" s="104">
        <f t="shared" si="10"/>
        <v>25058437392</v>
      </c>
      <c r="O35" s="103">
        <f t="shared" si="11"/>
        <v>24955390780</v>
      </c>
      <c r="P35" s="102">
        <f t="shared" si="21"/>
        <v>99.58877478915386</v>
      </c>
      <c r="Q35" s="174">
        <f t="shared" si="22"/>
        <v>-103046612</v>
      </c>
      <c r="R35" s="431">
        <v>47211467</v>
      </c>
      <c r="S35" s="102">
        <f t="shared" ref="S35:S37" si="25">IF(G35=0,"",G35/R35*100)</f>
        <v>141.92661922579106</v>
      </c>
      <c r="T35" s="103">
        <f t="shared" ref="T35:T37" si="26">T34+R35</f>
        <v>1873705233</v>
      </c>
      <c r="U35" s="137">
        <f t="shared" ref="U35:U37" si="27">IF(K35="","",K35/T35*100)</f>
        <v>100.5063919250953</v>
      </c>
      <c r="V35" s="136">
        <f t="shared" ref="V35:V37" si="28">V34+R35</f>
        <v>26039940920</v>
      </c>
      <c r="W35" s="138">
        <f t="shared" ref="W35:W37" si="29">IF(O35="","",O35/V35*100)</f>
        <v>95.835051456791092</v>
      </c>
      <c r="Y35" s="314" t="str">
        <f>TEXT(DATE(YEAR(영업현황!$A$2)-1,$A$1,A35),"aaa")</f>
        <v>화</v>
      </c>
      <c r="Z35" s="184"/>
    </row>
    <row r="36" spans="1:26" ht="24" customHeight="1" x14ac:dyDescent="0.15">
      <c r="A36" s="99">
        <f t="shared" si="13"/>
        <v>30</v>
      </c>
      <c r="B36" s="151" t="str">
        <f>TEXT(DATE(YEAR(영업현황!$A$2),$A$1,A36),"aaa")</f>
        <v>목</v>
      </c>
      <c r="C36" s="431"/>
      <c r="D36" s="100" t="str">
        <f t="shared" ref="D36" si="30">IF(C36="","",D35+C36)</f>
        <v/>
      </c>
      <c r="E36" s="100" t="str">
        <f t="shared" ref="E36" si="31">IF(C36="","",E35+C36)</f>
        <v/>
      </c>
      <c r="F36" s="101">
        <f t="shared" si="14"/>
        <v>62517912</v>
      </c>
      <c r="G36" s="431">
        <v>69025152</v>
      </c>
      <c r="H36" s="102"/>
      <c r="I36" s="100">
        <f t="shared" ref="I36" si="32">IF(G36="","",G36-F36)</f>
        <v>6507240</v>
      </c>
      <c r="J36" s="101">
        <f t="shared" si="18"/>
        <v>1875537367</v>
      </c>
      <c r="K36" s="100">
        <f t="shared" ref="K36" si="33">IF(G36="","",K35+G36)</f>
        <v>1952218677</v>
      </c>
      <c r="L36" s="102">
        <f t="shared" ref="L36" si="34">IF(K36="","",K36/J36*100)</f>
        <v>104.08849812054956</v>
      </c>
      <c r="M36" s="103">
        <f t="shared" ref="M36" si="35">IF(K36="","",K36-J36)</f>
        <v>76681310</v>
      </c>
      <c r="N36" s="104">
        <f t="shared" si="10"/>
        <v>25120955304</v>
      </c>
      <c r="O36" s="103">
        <f t="shared" ref="O36" si="36">IF(G36="","",O35+G36)</f>
        <v>25024415932</v>
      </c>
      <c r="P36" s="102">
        <f t="shared" ref="P36" si="37">IF(O36="","",O36/N36*100)</f>
        <v>99.615701828088405</v>
      </c>
      <c r="Q36" s="174">
        <f t="shared" ref="Q36" si="38">IF(O36="","",O36-N36)</f>
        <v>-96539372</v>
      </c>
      <c r="R36" s="431">
        <v>67885988</v>
      </c>
      <c r="S36" s="102">
        <f t="shared" si="25"/>
        <v>101.67805468191757</v>
      </c>
      <c r="T36" s="103">
        <f t="shared" si="26"/>
        <v>1941591221</v>
      </c>
      <c r="U36" s="137">
        <f t="shared" si="27"/>
        <v>100.54735805791944</v>
      </c>
      <c r="V36" s="136">
        <f t="shared" si="28"/>
        <v>26107826908</v>
      </c>
      <c r="W36" s="138">
        <f t="shared" si="29"/>
        <v>95.850244526985051</v>
      </c>
      <c r="Y36" s="314" t="str">
        <f>TEXT(DATE(YEAR(영업현황!$A$2)-1,$A$1,A36),"aaa")</f>
        <v>수</v>
      </c>
      <c r="Z36" s="184"/>
    </row>
    <row r="37" spans="1:26" ht="24" customHeight="1" thickBot="1" x14ac:dyDescent="0.2">
      <c r="A37" s="99">
        <f t="shared" si="13"/>
        <v>31</v>
      </c>
      <c r="B37" s="151" t="str">
        <f>TEXT(DATE(YEAR(영업현황!$A$2),$A$1,A37),"aaa")</f>
        <v>금</v>
      </c>
      <c r="C37" s="432"/>
      <c r="D37" s="100"/>
      <c r="E37" s="100"/>
      <c r="F37" s="101">
        <f t="shared" si="14"/>
        <v>62517912</v>
      </c>
      <c r="G37" s="434"/>
      <c r="H37" s="102"/>
      <c r="I37" s="100" t="str">
        <f t="shared" ref="I37" si="39">IF(G37="","",G37-F37)</f>
        <v/>
      </c>
      <c r="J37" s="101">
        <f t="shared" ref="J37" si="40">IF(F37="","",J36+F37)</f>
        <v>1938055279</v>
      </c>
      <c r="K37" s="100" t="str">
        <f t="shared" ref="K37" si="41">IF(G37="","",K36+G37)</f>
        <v/>
      </c>
      <c r="L37" s="102" t="str">
        <f t="shared" ref="L37" si="42">IF(K37="","",K37/J37*100)</f>
        <v/>
      </c>
      <c r="M37" s="103" t="str">
        <f t="shared" ref="M37" si="43">IF(K37="","",K37-J37)</f>
        <v/>
      </c>
      <c r="N37" s="104">
        <f t="shared" ref="N37" si="44">IF(F37="","",N36+F37)</f>
        <v>25183473216</v>
      </c>
      <c r="O37" s="103" t="str">
        <f t="shared" ref="O37" si="45">IF(G37="","",O36+G37)</f>
        <v/>
      </c>
      <c r="P37" s="102" t="str">
        <f t="shared" ref="P37" si="46">IF(O37="","",O37/N37*100)</f>
        <v/>
      </c>
      <c r="Q37" s="174" t="str">
        <f t="shared" ref="Q37" si="47">IF(O37="","",O37-N37)</f>
        <v/>
      </c>
      <c r="R37" s="431"/>
      <c r="S37" s="102" t="str">
        <f t="shared" si="25"/>
        <v/>
      </c>
      <c r="T37" s="103">
        <f t="shared" si="26"/>
        <v>1941591221</v>
      </c>
      <c r="U37" s="137" t="str">
        <f t="shared" si="27"/>
        <v/>
      </c>
      <c r="V37" s="136">
        <f t="shared" si="28"/>
        <v>26107826908</v>
      </c>
      <c r="W37" s="138" t="str">
        <f t="shared" si="29"/>
        <v/>
      </c>
      <c r="Y37" s="314" t="str">
        <f>TEXT(DATE(YEAR(영업현황!$A$2)-1,$A$1,A37),"aaa")</f>
        <v>목</v>
      </c>
    </row>
    <row r="38" spans="1:26" x14ac:dyDescent="0.15">
      <c r="C38" s="106"/>
      <c r="D38" s="106"/>
      <c r="G38" s="106"/>
      <c r="K38" s="106"/>
      <c r="O38" s="106"/>
    </row>
    <row r="39" spans="1:26" x14ac:dyDescent="0.15">
      <c r="A39" s="76">
        <v>1</v>
      </c>
      <c r="B39" s="76">
        <v>2</v>
      </c>
      <c r="C39" s="76">
        <v>3</v>
      </c>
      <c r="D39" s="76">
        <v>4</v>
      </c>
      <c r="E39" s="76">
        <v>5</v>
      </c>
      <c r="F39" s="76">
        <v>6</v>
      </c>
      <c r="G39" s="76">
        <v>7</v>
      </c>
      <c r="H39" s="76">
        <v>8</v>
      </c>
      <c r="I39" s="76">
        <v>9</v>
      </c>
      <c r="J39" s="76">
        <v>10</v>
      </c>
      <c r="K39" s="76">
        <v>11</v>
      </c>
      <c r="L39" s="76">
        <v>12</v>
      </c>
      <c r="M39" s="76">
        <v>13</v>
      </c>
      <c r="N39" s="76">
        <v>14</v>
      </c>
      <c r="O39" s="76">
        <v>15</v>
      </c>
      <c r="P39" s="76">
        <v>16</v>
      </c>
      <c r="Q39" s="76">
        <v>17</v>
      </c>
      <c r="R39" s="76">
        <v>18</v>
      </c>
      <c r="S39" s="76">
        <v>19</v>
      </c>
      <c r="T39" s="76">
        <v>20</v>
      </c>
      <c r="U39" s="76">
        <v>21</v>
      </c>
      <c r="V39" s="76">
        <v>22</v>
      </c>
    </row>
    <row r="40" spans="1:26" x14ac:dyDescent="0.15">
      <c r="C40" s="106"/>
      <c r="F40" s="106"/>
      <c r="G40" s="106"/>
    </row>
    <row r="41" spans="1:26" s="149" customFormat="1" ht="25.5" customHeight="1" x14ac:dyDescent="0.15">
      <c r="B41" s="149" t="s">
        <v>71</v>
      </c>
      <c r="C41" s="236">
        <f>ROUND(SUM(C7:C37),0)</f>
        <v>0</v>
      </c>
      <c r="D41" s="238"/>
      <c r="E41" s="238"/>
      <c r="F41" s="238"/>
      <c r="G41" s="239">
        <f>SUM(G7:G37)</f>
        <v>1952218677</v>
      </c>
      <c r="H41" s="238"/>
      <c r="I41" s="238"/>
      <c r="J41" s="238"/>
      <c r="K41" s="238"/>
      <c r="L41" s="238"/>
      <c r="M41" s="238"/>
      <c r="N41" s="239">
        <f>N36</f>
        <v>25120955304</v>
      </c>
      <c r="O41" s="238"/>
      <c r="P41" s="238"/>
      <c r="Q41" s="238"/>
      <c r="R41" s="236">
        <f>ROUND(SUM(R7:R37),0)</f>
        <v>1941591221</v>
      </c>
      <c r="Z41" s="233"/>
    </row>
    <row r="42" spans="1:26" s="149" customFormat="1" ht="25.5" customHeight="1" x14ac:dyDescent="0.15">
      <c r="B42" s="149" t="s">
        <v>69</v>
      </c>
      <c r="C42" s="433"/>
      <c r="D42" s="238"/>
      <c r="E42" s="238"/>
      <c r="F42" s="238"/>
      <c r="G42" s="433">
        <v>1952218677</v>
      </c>
      <c r="H42" s="238"/>
      <c r="I42" s="238">
        <f>SUM(G7:G37)</f>
        <v>1952218677</v>
      </c>
      <c r="J42" s="238"/>
      <c r="K42" s="238"/>
      <c r="L42" s="238"/>
      <c r="M42" s="238"/>
      <c r="N42" s="435">
        <v>25243047812</v>
      </c>
      <c r="O42" s="238"/>
      <c r="P42" s="238"/>
      <c r="Q42" s="238"/>
      <c r="R42" s="435">
        <v>1941591221</v>
      </c>
      <c r="Z42" s="233"/>
    </row>
    <row r="43" spans="1:26" ht="25.5" customHeight="1" x14ac:dyDescent="0.15">
      <c r="A43" s="149"/>
      <c r="B43" s="149" t="s">
        <v>70</v>
      </c>
      <c r="C43" s="235" t="b">
        <f>EXACT(C41,C42)</f>
        <v>0</v>
      </c>
      <c r="D43" s="149"/>
      <c r="E43" s="149"/>
      <c r="F43" s="149"/>
      <c r="G43" s="237" t="b">
        <f>EXACT(G41,G42)</f>
        <v>1</v>
      </c>
      <c r="H43" s="149"/>
      <c r="I43" s="149"/>
      <c r="J43" s="149"/>
      <c r="K43" s="149"/>
      <c r="L43" s="149"/>
      <c r="M43" s="149"/>
      <c r="N43" s="531" t="b">
        <f>EXACT(ROUND(N41,-3),ROUND(N42,-3))</f>
        <v>0</v>
      </c>
      <c r="O43" s="532"/>
      <c r="P43" s="532"/>
      <c r="Q43" s="532"/>
      <c r="R43" s="531" t="b">
        <f>EXACT(R41,ROUND(R42,0))</f>
        <v>1</v>
      </c>
    </row>
    <row r="44" spans="1:26" ht="25.5" customHeight="1" x14ac:dyDescent="0.15">
      <c r="B44" s="149" t="s">
        <v>72</v>
      </c>
      <c r="C44" s="240" t="s">
        <v>73</v>
      </c>
      <c r="G44" s="241" t="s">
        <v>367</v>
      </c>
      <c r="N44" s="76" t="s">
        <v>74</v>
      </c>
      <c r="R44" s="76" t="s">
        <v>301</v>
      </c>
    </row>
    <row r="45" spans="1:26" s="149" customFormat="1" ht="25.5" customHeight="1" x14ac:dyDescent="0.15">
      <c r="C45" s="242">
        <v>6</v>
      </c>
      <c r="G45" s="242">
        <f>C45</f>
        <v>6</v>
      </c>
      <c r="N45" s="242">
        <f>C45</f>
        <v>6</v>
      </c>
      <c r="R45" s="242">
        <f>C45</f>
        <v>6</v>
      </c>
      <c r="Z45" s="233"/>
    </row>
    <row r="46" spans="1:26" ht="16.5" x14ac:dyDescent="0.15">
      <c r="C46" s="194"/>
      <c r="G46" s="195"/>
    </row>
    <row r="47" spans="1:26" x14ac:dyDescent="0.15">
      <c r="C47" s="497">
        <f>C41-C42</f>
        <v>0</v>
      </c>
      <c r="G47" s="497">
        <f>G41-G42</f>
        <v>0</v>
      </c>
      <c r="N47" s="497"/>
      <c r="R47" s="469">
        <f>R41-R42</f>
        <v>0</v>
      </c>
    </row>
    <row r="48" spans="1:26" ht="16.5" x14ac:dyDescent="0.15">
      <c r="C48" s="194"/>
      <c r="G48" s="195"/>
    </row>
    <row r="49" spans="3:23" ht="16.5" x14ac:dyDescent="0.15">
      <c r="C49" s="194"/>
      <c r="F49" s="106"/>
      <c r="G49" s="195"/>
    </row>
    <row r="50" spans="3:23" ht="16.5" x14ac:dyDescent="0.15">
      <c r="C50" s="194"/>
      <c r="G50" s="195"/>
    </row>
    <row r="51" spans="3:23" ht="16.5" x14ac:dyDescent="0.15">
      <c r="C51" s="194"/>
      <c r="G51" s="195"/>
    </row>
    <row r="52" spans="3:23" ht="16.5" x14ac:dyDescent="0.15">
      <c r="C52" s="194"/>
      <c r="F52" s="76">
        <v>66871752</v>
      </c>
      <c r="G52" s="195">
        <v>67885988</v>
      </c>
      <c r="I52" s="76">
        <v>1014236</v>
      </c>
      <c r="J52" s="76">
        <v>2006152564</v>
      </c>
      <c r="K52" s="76">
        <v>1941591221</v>
      </c>
      <c r="L52" s="76">
        <v>96.781832839708187</v>
      </c>
      <c r="M52" s="76">
        <v>-64561343</v>
      </c>
      <c r="N52" s="76">
        <v>25442663167</v>
      </c>
      <c r="O52" s="76">
        <v>26107826908</v>
      </c>
      <c r="P52" s="76">
        <v>102.6143636640316</v>
      </c>
      <c r="Q52" s="76">
        <v>665163741</v>
      </c>
      <c r="R52" s="135">
        <v>47910595</v>
      </c>
      <c r="S52" s="76">
        <v>141.69305975014504</v>
      </c>
      <c r="T52" s="135">
        <v>2034030044</v>
      </c>
      <c r="U52" s="76">
        <v>95.455385564599851</v>
      </c>
      <c r="V52" s="135">
        <v>25152982567</v>
      </c>
      <c r="W52" s="76">
        <v>103.79614758789172</v>
      </c>
    </row>
    <row r="53" spans="3:23" ht="16.5" x14ac:dyDescent="0.15">
      <c r="C53" s="194"/>
      <c r="G53" s="195"/>
    </row>
    <row r="54" spans="3:23" ht="16.5" x14ac:dyDescent="0.15">
      <c r="C54" s="194"/>
      <c r="G54" s="195"/>
    </row>
    <row r="55" spans="3:23" ht="16.5" x14ac:dyDescent="0.15">
      <c r="C55" s="194"/>
      <c r="G55" s="195"/>
    </row>
    <row r="56" spans="3:23" ht="16.5" x14ac:dyDescent="0.15">
      <c r="C56" s="194"/>
      <c r="G56" s="195"/>
    </row>
    <row r="57" spans="3:23" ht="16.5" x14ac:dyDescent="0.15">
      <c r="C57" s="194"/>
      <c r="G57" s="195"/>
    </row>
    <row r="58" spans="3:23" ht="16.5" x14ac:dyDescent="0.15">
      <c r="C58" s="194"/>
      <c r="G58" s="195"/>
    </row>
    <row r="59" spans="3:23" ht="16.5" x14ac:dyDescent="0.15">
      <c r="C59" s="194"/>
      <c r="G59" s="195"/>
    </row>
    <row r="60" spans="3:23" ht="16.5" x14ac:dyDescent="0.15">
      <c r="C60" s="194"/>
      <c r="G60" s="195"/>
    </row>
    <row r="61" spans="3:23" ht="16.5" x14ac:dyDescent="0.15">
      <c r="C61" s="194"/>
      <c r="G61" s="195"/>
    </row>
    <row r="62" spans="3:23" ht="16.5" x14ac:dyDescent="0.15">
      <c r="C62" s="194"/>
      <c r="G62" s="195"/>
    </row>
    <row r="63" spans="3:23" ht="16.5" x14ac:dyDescent="0.15">
      <c r="C63" s="194"/>
      <c r="G63" s="195"/>
    </row>
    <row r="64" spans="3:23" ht="16.5" x14ac:dyDescent="0.15">
      <c r="C64" s="194"/>
      <c r="G64" s="195"/>
    </row>
    <row r="65" spans="3:7" ht="16.5" x14ac:dyDescent="0.15">
      <c r="C65" s="194"/>
      <c r="G65" s="195"/>
    </row>
    <row r="66" spans="3:7" ht="16.5" x14ac:dyDescent="0.15">
      <c r="C66" s="194"/>
      <c r="G66" s="195"/>
    </row>
    <row r="67" spans="3:7" ht="16.5" x14ac:dyDescent="0.15">
      <c r="C67" s="194"/>
      <c r="G67" s="195"/>
    </row>
    <row r="68" spans="3:7" ht="16.5" x14ac:dyDescent="0.15">
      <c r="C68" s="194"/>
      <c r="G68" s="195"/>
    </row>
    <row r="69" spans="3:7" ht="16.5" x14ac:dyDescent="0.15">
      <c r="C69" s="194"/>
      <c r="G69" s="195"/>
    </row>
    <row r="70" spans="3:7" ht="16.5" x14ac:dyDescent="0.15">
      <c r="C70" s="194"/>
      <c r="G70" s="195"/>
    </row>
    <row r="71" spans="3:7" ht="16.5" x14ac:dyDescent="0.15">
      <c r="C71" s="194"/>
      <c r="G71" s="195"/>
    </row>
    <row r="72" spans="3:7" ht="16.5" x14ac:dyDescent="0.15">
      <c r="G72" s="189"/>
    </row>
  </sheetData>
  <mergeCells count="2">
    <mergeCell ref="A5:B5"/>
    <mergeCell ref="A6:B6"/>
  </mergeCells>
  <phoneticPr fontId="5" type="noConversion"/>
  <conditionalFormatting sqref="C35:C36 A7:R8 A9:E34 D35:E37 A35:B37 G9:R36 H37:R37 F9:F37">
    <cfRule type="expression" dxfId="5" priority="12" stopIfTrue="1">
      <formula>$B7="일"</formula>
    </cfRule>
  </conditionalFormatting>
  <conditionalFormatting sqref="R7:W37">
    <cfRule type="expression" dxfId="4" priority="13" stopIfTrue="1">
      <formula>$Y7="일"</formula>
    </cfRule>
  </conditionalFormatting>
  <conditionalFormatting sqref="T7:W37">
    <cfRule type="expression" dxfId="3" priority="9" stopIfTrue="1">
      <formula>$Y7="일"</formula>
    </cfRule>
  </conditionalFormatting>
  <conditionalFormatting sqref="G37">
    <cfRule type="expression" dxfId="2" priority="3" stopIfTrue="1">
      <formula>$B37="일"</formula>
    </cfRule>
  </conditionalFormatting>
  <printOptions horizontalCentered="1"/>
  <pageMargins left="0.19685039370078741" right="0.19685039370078741" top="0.70866141732283472" bottom="0.70866141732283472" header="0.51181102362204722" footer="0.51181102362204722"/>
  <pageSetup paperSize="8" scale="78" orientation="landscape" r:id="rId1"/>
  <headerFooter alignWithMargins="0">
    <oddFooter>&amp;LDGEA-0100-03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pageSetUpPr fitToPage="1"/>
  </sheetPr>
  <dimension ref="A1:N41"/>
  <sheetViews>
    <sheetView topLeftCell="A16" workbookViewId="0">
      <selection activeCell="G26" sqref="G26"/>
    </sheetView>
  </sheetViews>
  <sheetFormatPr defaultColWidth="9" defaultRowHeight="21" customHeight="1" x14ac:dyDescent="0.15"/>
  <cols>
    <col min="1" max="1" width="26.125" style="504" bestFit="1" customWidth="1"/>
    <col min="2" max="2" width="32.75" style="504" customWidth="1"/>
    <col min="3" max="3" width="36.875" style="504" customWidth="1"/>
    <col min="4" max="4" width="17.375" style="504" bestFit="1" customWidth="1"/>
    <col min="5" max="5" width="19.75" style="504" bestFit="1" customWidth="1"/>
    <col min="6" max="6" width="23.375" style="702" bestFit="1" customWidth="1"/>
    <col min="7" max="7" width="42.75" style="504" bestFit="1" customWidth="1"/>
    <col min="8" max="8" width="39.875" style="504" customWidth="1"/>
    <col min="9" max="9" width="31.875" style="504" bestFit="1" customWidth="1"/>
    <col min="10" max="10" width="14.25" style="504" customWidth="1"/>
    <col min="11" max="18" width="11.625" style="504" customWidth="1"/>
    <col min="19" max="16384" width="9" style="504"/>
  </cols>
  <sheetData>
    <row r="1" spans="1:14" ht="21" customHeight="1" x14ac:dyDescent="0.15">
      <c r="A1" s="849" t="s">
        <v>353</v>
      </c>
      <c r="B1" s="849"/>
      <c r="C1" s="849"/>
      <c r="D1" s="849"/>
      <c r="E1" s="849"/>
      <c r="F1" s="849"/>
      <c r="H1" s="569" t="s">
        <v>381</v>
      </c>
    </row>
    <row r="2" spans="1:14" s="505" customFormat="1" ht="21" customHeight="1" thickBot="1" x14ac:dyDescent="0.2">
      <c r="A2" s="286"/>
      <c r="B2" s="853" t="s">
        <v>355</v>
      </c>
      <c r="C2" s="854"/>
      <c r="D2" s="854"/>
      <c r="E2" s="855"/>
      <c r="F2" s="855"/>
      <c r="G2" s="852"/>
    </row>
    <row r="3" spans="1:14" s="505" customFormat="1" ht="21" customHeight="1" thickBot="1" x14ac:dyDescent="0.2">
      <c r="A3" s="558" t="s">
        <v>354</v>
      </c>
      <c r="B3" s="515" t="s">
        <v>356</v>
      </c>
      <c r="C3" s="517" t="s">
        <v>206</v>
      </c>
      <c r="D3" s="518" t="s">
        <v>361</v>
      </c>
      <c r="E3" s="516" t="s">
        <v>357</v>
      </c>
      <c r="F3" s="509" t="s">
        <v>358</v>
      </c>
      <c r="G3" s="852"/>
    </row>
    <row r="4" spans="1:14" s="505" customFormat="1" ht="21" customHeight="1" thickTop="1" x14ac:dyDescent="0.15">
      <c r="A4" s="561" t="s">
        <v>359</v>
      </c>
      <c r="B4" s="522">
        <f>SUM(B5:B6,B8:B11)</f>
        <v>1142</v>
      </c>
      <c r="C4" s="523">
        <f>영업일보!E8</f>
        <v>1446</v>
      </c>
      <c r="D4" s="519">
        <f t="shared" ref="D4:D11" si="0">C4-B4</f>
        <v>304</v>
      </c>
      <c r="E4" s="524">
        <f>SUM(E5:E6,E8:E11)</f>
        <v>864</v>
      </c>
      <c r="F4" s="699">
        <f>SUM(F5:F6,F8:F11)</f>
        <v>0</v>
      </c>
      <c r="G4" s="540"/>
    </row>
    <row r="5" spans="1:14" s="505" customFormat="1" ht="21" customHeight="1" x14ac:dyDescent="0.15">
      <c r="A5" s="557" t="s">
        <v>81</v>
      </c>
      <c r="B5" s="525">
        <f>영업일보!D9</f>
        <v>920</v>
      </c>
      <c r="C5" s="526">
        <f>영업일보!E9</f>
        <v>962</v>
      </c>
      <c r="D5" s="520">
        <f t="shared" si="0"/>
        <v>42</v>
      </c>
      <c r="E5" s="527">
        <f>영업일보!F9</f>
        <v>165</v>
      </c>
      <c r="F5" s="700">
        <f>영업일보!G9</f>
        <v>3</v>
      </c>
      <c r="G5" s="541"/>
      <c r="I5" s="545"/>
      <c r="J5" s="545"/>
      <c r="K5" s="545"/>
      <c r="L5" s="546"/>
      <c r="M5" s="546"/>
      <c r="N5" s="547"/>
    </row>
    <row r="6" spans="1:14" s="505" customFormat="1" ht="21" customHeight="1" x14ac:dyDescent="0.15">
      <c r="A6" s="557" t="s">
        <v>82</v>
      </c>
      <c r="B6" s="525">
        <f>영업일보!D10</f>
        <v>141</v>
      </c>
      <c r="C6" s="526">
        <f>영업일보!E10</f>
        <v>398</v>
      </c>
      <c r="D6" s="520">
        <f t="shared" si="0"/>
        <v>257</v>
      </c>
      <c r="E6" s="527">
        <f>영업일보!F10</f>
        <v>638</v>
      </c>
      <c r="F6" s="700">
        <f>영업일보!G10</f>
        <v>-27</v>
      </c>
      <c r="G6" s="542"/>
      <c r="I6" s="545"/>
      <c r="J6" s="545"/>
      <c r="K6" s="545"/>
      <c r="L6" s="546"/>
      <c r="M6" s="546"/>
      <c r="N6" s="547"/>
    </row>
    <row r="7" spans="1:14" s="505" customFormat="1" ht="21" customHeight="1" x14ac:dyDescent="0.15">
      <c r="A7" s="559" t="s">
        <v>360</v>
      </c>
      <c r="B7" s="528">
        <f t="shared" ref="B7:C7" si="1">SUM(B5:B6)</f>
        <v>1061</v>
      </c>
      <c r="C7" s="538">
        <f t="shared" si="1"/>
        <v>1360</v>
      </c>
      <c r="D7" s="539">
        <f t="shared" si="0"/>
        <v>299</v>
      </c>
      <c r="E7" s="529">
        <f t="shared" ref="E7" si="2">SUM(E5:E6)</f>
        <v>803</v>
      </c>
      <c r="F7" s="701">
        <f t="shared" ref="F7" si="3">SUM(F5:F6)</f>
        <v>-24</v>
      </c>
      <c r="G7" s="542"/>
      <c r="I7" s="545"/>
      <c r="J7" s="545"/>
      <c r="K7" s="545"/>
      <c r="L7" s="546"/>
      <c r="M7" s="546"/>
      <c r="N7" s="547"/>
    </row>
    <row r="8" spans="1:14" s="505" customFormat="1" ht="21" customHeight="1" x14ac:dyDescent="0.15">
      <c r="A8" s="557" t="s">
        <v>444</v>
      </c>
      <c r="B8" s="525">
        <f>영업일보!D11</f>
        <v>55</v>
      </c>
      <c r="C8" s="526">
        <f>영업일보!E11</f>
        <v>61</v>
      </c>
      <c r="D8" s="520">
        <f t="shared" si="0"/>
        <v>6</v>
      </c>
      <c r="E8" s="527">
        <f>영업일보!F11</f>
        <v>45</v>
      </c>
      <c r="F8" s="700">
        <f>영업일보!G11</f>
        <v>25</v>
      </c>
      <c r="G8" s="542"/>
      <c r="I8" s="545"/>
      <c r="J8" s="545"/>
      <c r="K8" s="545"/>
      <c r="L8" s="546"/>
      <c r="M8" s="546"/>
      <c r="N8" s="547"/>
    </row>
    <row r="9" spans="1:14" s="505" customFormat="1" ht="21" customHeight="1" x14ac:dyDescent="0.15">
      <c r="A9" s="557" t="s">
        <v>52</v>
      </c>
      <c r="B9" s="525">
        <f>영업일보!D12</f>
        <v>26</v>
      </c>
      <c r="C9" s="526">
        <f>영업일보!E12</f>
        <v>24</v>
      </c>
      <c r="D9" s="520">
        <f t="shared" si="0"/>
        <v>-2</v>
      </c>
      <c r="E9" s="527">
        <f>영업일보!F12</f>
        <v>15</v>
      </c>
      <c r="F9" s="700">
        <f>영업일보!G12</f>
        <v>-2</v>
      </c>
      <c r="G9" s="542"/>
      <c r="I9" s="545"/>
      <c r="J9" s="545"/>
      <c r="K9" s="545"/>
      <c r="L9" s="546"/>
      <c r="M9" s="546"/>
      <c r="N9" s="547"/>
    </row>
    <row r="10" spans="1:14" s="505" customFormat="1" ht="21" customHeight="1" x14ac:dyDescent="0.15">
      <c r="A10" s="560" t="s">
        <v>53</v>
      </c>
      <c r="B10" s="525">
        <f>영업일보!D13</f>
        <v>0</v>
      </c>
      <c r="C10" s="526">
        <f>영업일보!E13</f>
        <v>2</v>
      </c>
      <c r="D10" s="520">
        <f t="shared" si="0"/>
        <v>2</v>
      </c>
      <c r="E10" s="527">
        <f>영업일보!F13</f>
        <v>1</v>
      </c>
      <c r="F10" s="700">
        <f>영업일보!G13</f>
        <v>0</v>
      </c>
      <c r="G10" s="542"/>
      <c r="I10" s="545"/>
      <c r="J10" s="545"/>
      <c r="K10" s="545"/>
      <c r="L10" s="546"/>
      <c r="M10" s="546"/>
      <c r="N10" s="547"/>
    </row>
    <row r="11" spans="1:14" s="505" customFormat="1" ht="21" customHeight="1" thickBot="1" x14ac:dyDescent="0.2">
      <c r="A11" s="557" t="s">
        <v>54</v>
      </c>
      <c r="B11" s="525">
        <f>영업일보!D14</f>
        <v>0</v>
      </c>
      <c r="C11" s="530">
        <f>영업일보!E14</f>
        <v>-1</v>
      </c>
      <c r="D11" s="521">
        <f t="shared" si="0"/>
        <v>-1</v>
      </c>
      <c r="E11" s="527">
        <f>영업일보!F14</f>
        <v>0</v>
      </c>
      <c r="F11" s="700">
        <f>영업일보!G14</f>
        <v>1</v>
      </c>
      <c r="G11" s="542"/>
      <c r="I11" s="545"/>
      <c r="J11" s="545"/>
      <c r="K11" s="545"/>
      <c r="L11" s="546"/>
      <c r="M11" s="546"/>
      <c r="N11" s="547"/>
    </row>
    <row r="12" spans="1:14" ht="21" customHeight="1" x14ac:dyDescent="0.15">
      <c r="A12" s="674"/>
    </row>
    <row r="13" spans="1:14" s="505" customFormat="1" ht="21" customHeight="1" x14ac:dyDescent="0.15">
      <c r="A13" s="849" t="s">
        <v>373</v>
      </c>
      <c r="B13" s="849"/>
      <c r="C13" s="849"/>
      <c r="D13" s="849"/>
      <c r="E13" s="849"/>
      <c r="F13" s="849"/>
      <c r="G13" s="286"/>
    </row>
    <row r="14" spans="1:14" s="505" customFormat="1" ht="21" customHeight="1" x14ac:dyDescent="0.15">
      <c r="A14" s="675" t="s">
        <v>369</v>
      </c>
      <c r="B14" s="676" t="s">
        <v>368</v>
      </c>
      <c r="C14" s="677" t="s">
        <v>370</v>
      </c>
      <c r="D14" s="678" t="s">
        <v>379</v>
      </c>
      <c r="E14" s="678" t="s">
        <v>380</v>
      </c>
      <c r="F14" s="703"/>
      <c r="G14" s="698"/>
    </row>
    <row r="15" spans="1:14" s="505" customFormat="1" ht="21" customHeight="1" x14ac:dyDescent="0.15">
      <c r="A15" s="679" t="s">
        <v>460</v>
      </c>
      <c r="B15" s="548">
        <v>1740</v>
      </c>
      <c r="C15" s="536">
        <v>46174</v>
      </c>
      <c r="D15" s="536">
        <v>46174</v>
      </c>
      <c r="E15" s="536"/>
      <c r="F15" s="704"/>
      <c r="G15" s="533"/>
    </row>
    <row r="16" spans="1:14" s="505" customFormat="1" ht="21" customHeight="1" x14ac:dyDescent="0.15">
      <c r="A16" s="514"/>
      <c r="B16" s="502"/>
      <c r="C16" s="499"/>
      <c r="D16" s="500"/>
      <c r="E16" s="535"/>
      <c r="F16" s="705"/>
      <c r="G16" s="533"/>
    </row>
    <row r="17" spans="1:13" s="505" customFormat="1" ht="21" customHeight="1" x14ac:dyDescent="0.15">
      <c r="A17" s="849" t="s">
        <v>388</v>
      </c>
      <c r="B17" s="849"/>
      <c r="C17" s="849"/>
      <c r="D17" s="849"/>
      <c r="E17" s="849"/>
      <c r="F17" s="849"/>
      <c r="G17" s="533"/>
    </row>
    <row r="18" spans="1:13" s="505" customFormat="1" ht="21" customHeight="1" x14ac:dyDescent="0.15">
      <c r="A18" s="680" t="s">
        <v>438</v>
      </c>
      <c r="B18" s="706" t="s">
        <v>439</v>
      </c>
      <c r="C18" s="681" t="s">
        <v>440</v>
      </c>
      <c r="D18" s="681" t="s">
        <v>441</v>
      </c>
      <c r="E18" s="681" t="s">
        <v>442</v>
      </c>
      <c r="F18" s="682" t="s">
        <v>443</v>
      </c>
      <c r="G18" s="533"/>
      <c r="H18" s="533"/>
      <c r="J18" s="574"/>
      <c r="M18" s="575"/>
    </row>
    <row r="19" spans="1:13" s="505" customFormat="1" ht="21" customHeight="1" x14ac:dyDescent="0.15">
      <c r="A19" s="683" t="s">
        <v>421</v>
      </c>
      <c r="B19" s="707">
        <v>46007</v>
      </c>
      <c r="C19" s="684">
        <v>2023</v>
      </c>
      <c r="D19" s="684">
        <v>414</v>
      </c>
      <c r="E19" s="567">
        <v>1531</v>
      </c>
      <c r="F19" s="685">
        <v>0.75670000000000004</v>
      </c>
      <c r="G19" s="717"/>
      <c r="H19" s="533"/>
    </row>
    <row r="20" spans="1:13" s="505" customFormat="1" ht="21" customHeight="1" x14ac:dyDescent="0.15">
      <c r="A20" s="683" t="s">
        <v>455</v>
      </c>
      <c r="B20" s="707">
        <v>46084</v>
      </c>
      <c r="C20" s="684">
        <v>596</v>
      </c>
      <c r="D20" s="684">
        <v>141</v>
      </c>
      <c r="E20" s="567">
        <v>413</v>
      </c>
      <c r="F20" s="685">
        <v>0.69289999999999996</v>
      </c>
      <c r="G20" s="533"/>
      <c r="H20" s="533"/>
    </row>
    <row r="21" spans="1:13" s="505" customFormat="1" ht="21" customHeight="1" x14ac:dyDescent="0.15">
      <c r="A21" s="683" t="s">
        <v>456</v>
      </c>
      <c r="B21" s="707">
        <v>46085</v>
      </c>
      <c r="C21" s="684">
        <v>543</v>
      </c>
      <c r="D21" s="684">
        <v>120</v>
      </c>
      <c r="E21" s="567">
        <v>301</v>
      </c>
      <c r="F21" s="685">
        <v>0.55430000000000001</v>
      </c>
      <c r="G21" s="533"/>
      <c r="H21" s="533"/>
      <c r="I21" s="533"/>
    </row>
    <row r="22" spans="1:13" s="505" customFormat="1" ht="21" customHeight="1" x14ac:dyDescent="0.15">
      <c r="A22" s="683" t="s">
        <v>485</v>
      </c>
      <c r="B22" s="707">
        <v>45694</v>
      </c>
      <c r="C22" s="684">
        <v>837</v>
      </c>
      <c r="D22" s="684">
        <v>47</v>
      </c>
      <c r="E22" s="567">
        <v>633</v>
      </c>
      <c r="F22" s="685">
        <v>0.75619999999999998</v>
      </c>
      <c r="G22" s="533"/>
      <c r="H22" s="533"/>
      <c r="I22" s="533"/>
    </row>
    <row r="23" spans="1:13" s="505" customFormat="1" ht="21" customHeight="1" x14ac:dyDescent="0.15">
      <c r="A23" s="683" t="s">
        <v>486</v>
      </c>
      <c r="B23" s="707">
        <v>46006</v>
      </c>
      <c r="C23" s="684">
        <v>750</v>
      </c>
      <c r="D23" s="684">
        <v>32</v>
      </c>
      <c r="E23" s="567">
        <v>113</v>
      </c>
      <c r="F23" s="685">
        <v>0.15060000000000001</v>
      </c>
      <c r="G23" s="533"/>
      <c r="H23" s="533"/>
      <c r="I23" s="570"/>
    </row>
    <row r="24" spans="1:13" s="505" customFormat="1" ht="21" customHeight="1" x14ac:dyDescent="0.15">
      <c r="A24" s="537"/>
      <c r="B24" s="537"/>
      <c r="C24" s="568"/>
      <c r="D24" s="568"/>
      <c r="E24" s="686"/>
      <c r="F24" s="708"/>
      <c r="G24" s="501"/>
      <c r="H24" s="533"/>
      <c r="I24" s="533"/>
    </row>
    <row r="25" spans="1:13" s="505" customFormat="1" ht="21" customHeight="1" x14ac:dyDescent="0.15">
      <c r="A25" s="849" t="s">
        <v>386</v>
      </c>
      <c r="B25" s="849"/>
      <c r="C25" s="849"/>
      <c r="D25" s="849"/>
      <c r="E25" s="849"/>
      <c r="F25" s="849"/>
      <c r="G25" s="501"/>
      <c r="H25" s="533"/>
      <c r="I25" s="533"/>
    </row>
    <row r="26" spans="1:13" s="505" customFormat="1" ht="21" customHeight="1" x14ac:dyDescent="0.15">
      <c r="A26" s="687" t="s">
        <v>362</v>
      </c>
      <c r="B26" s="681" t="s">
        <v>389</v>
      </c>
      <c r="C26" s="688" t="s">
        <v>364</v>
      </c>
      <c r="D26" s="687" t="s">
        <v>363</v>
      </c>
      <c r="E26" s="689" t="s">
        <v>372</v>
      </c>
      <c r="F26" s="706" t="s">
        <v>365</v>
      </c>
      <c r="G26" s="286"/>
      <c r="H26" s="501"/>
      <c r="I26" s="501"/>
    </row>
    <row r="27" spans="1:13" s="505" customFormat="1" ht="21" customHeight="1" x14ac:dyDescent="0.15">
      <c r="A27" s="857" t="s">
        <v>387</v>
      </c>
      <c r="B27" s="857" t="s">
        <v>387</v>
      </c>
      <c r="C27" s="690" t="s">
        <v>491</v>
      </c>
      <c r="D27" s="690">
        <v>1</v>
      </c>
      <c r="E27" s="690">
        <v>28599</v>
      </c>
      <c r="F27" s="709"/>
      <c r="G27" s="286"/>
      <c r="H27" s="501"/>
      <c r="I27" s="501"/>
      <c r="J27" s="514"/>
    </row>
    <row r="28" spans="1:13" s="505" customFormat="1" ht="21" customHeight="1" x14ac:dyDescent="0.15">
      <c r="A28" s="858"/>
      <c r="B28" s="858"/>
      <c r="C28" s="690" t="s">
        <v>492</v>
      </c>
      <c r="D28" s="690">
        <v>1</v>
      </c>
      <c r="E28" s="690">
        <v>11797</v>
      </c>
      <c r="F28" s="709"/>
      <c r="G28" s="286"/>
      <c r="H28" s="501"/>
      <c r="I28" s="501"/>
      <c r="J28" s="514"/>
    </row>
    <row r="29" spans="1:13" s="505" customFormat="1" ht="21" customHeight="1" x14ac:dyDescent="0.15">
      <c r="A29" s="856" t="s">
        <v>276</v>
      </c>
      <c r="B29" s="691" t="s">
        <v>375</v>
      </c>
      <c r="C29" s="690" t="s">
        <v>487</v>
      </c>
      <c r="D29" s="690">
        <v>7</v>
      </c>
      <c r="E29" s="690">
        <v>4159</v>
      </c>
      <c r="F29" s="709"/>
      <c r="G29" s="534"/>
      <c r="H29" s="501"/>
      <c r="I29" s="501"/>
    </row>
    <row r="30" spans="1:13" s="505" customFormat="1" ht="21" customHeight="1" x14ac:dyDescent="0.15">
      <c r="A30" s="856"/>
      <c r="B30" s="691" t="s">
        <v>376</v>
      </c>
      <c r="C30" s="690" t="s">
        <v>488</v>
      </c>
      <c r="D30" s="690">
        <v>1</v>
      </c>
      <c r="E30" s="690">
        <v>619</v>
      </c>
      <c r="F30" s="709"/>
      <c r="G30" s="504"/>
      <c r="H30" s="501"/>
      <c r="I30" s="501"/>
    </row>
    <row r="31" spans="1:13" s="505" customFormat="1" ht="21" customHeight="1" x14ac:dyDescent="0.15">
      <c r="A31" s="856"/>
      <c r="B31" s="691" t="s">
        <v>377</v>
      </c>
      <c r="C31" s="690" t="s">
        <v>489</v>
      </c>
      <c r="D31" s="692">
        <v>3</v>
      </c>
      <c r="E31" s="690">
        <v>146</v>
      </c>
      <c r="F31" s="709"/>
      <c r="G31" s="504"/>
      <c r="H31" s="534"/>
      <c r="I31" s="501"/>
    </row>
    <row r="32" spans="1:13" s="505" customFormat="1" ht="21" customHeight="1" x14ac:dyDescent="0.15">
      <c r="A32" s="856"/>
      <c r="B32" s="691" t="s">
        <v>378</v>
      </c>
      <c r="C32" s="690" t="s">
        <v>490</v>
      </c>
      <c r="D32" s="690">
        <v>3</v>
      </c>
      <c r="E32" s="690">
        <v>1922</v>
      </c>
      <c r="F32" s="709"/>
      <c r="G32" s="504"/>
      <c r="H32" s="504"/>
      <c r="I32" s="501"/>
    </row>
    <row r="33" spans="1:8" s="505" customFormat="1" ht="21" customHeight="1" x14ac:dyDescent="0.15">
      <c r="A33" s="856"/>
      <c r="B33" s="691" t="s">
        <v>382</v>
      </c>
      <c r="C33" s="690"/>
      <c r="D33" s="690"/>
      <c r="E33" s="690"/>
      <c r="F33" s="709"/>
      <c r="G33" s="504"/>
      <c r="H33" s="504"/>
    </row>
    <row r="34" spans="1:8" ht="18.75" customHeight="1" x14ac:dyDescent="0.15">
      <c r="A34" s="691" t="s">
        <v>383</v>
      </c>
      <c r="B34" s="691" t="s">
        <v>383</v>
      </c>
      <c r="C34" s="690" t="s">
        <v>493</v>
      </c>
      <c r="D34" s="690">
        <v>1</v>
      </c>
      <c r="E34" s="690">
        <v>63</v>
      </c>
      <c r="F34" s="710"/>
    </row>
    <row r="35" spans="1:8" ht="18.75" customHeight="1" x14ac:dyDescent="0.15">
      <c r="A35" s="694"/>
      <c r="B35" s="694"/>
      <c r="C35" s="695"/>
      <c r="D35" s="695"/>
      <c r="E35" s="695"/>
      <c r="F35" s="711"/>
    </row>
    <row r="36" spans="1:8" ht="18.75" customHeight="1" x14ac:dyDescent="0.15">
      <c r="A36" s="694"/>
      <c r="B36" s="694"/>
      <c r="C36" s="695"/>
      <c r="D36" s="695"/>
      <c r="E36" s="695"/>
      <c r="F36" s="711"/>
    </row>
    <row r="37" spans="1:8" ht="18.75" customHeight="1" x14ac:dyDescent="0.15">
      <c r="A37" s="849" t="s">
        <v>374</v>
      </c>
      <c r="B37" s="849"/>
      <c r="C37" s="849"/>
      <c r="D37" s="849"/>
      <c r="E37" s="849"/>
      <c r="F37" s="849"/>
      <c r="G37" s="674"/>
    </row>
    <row r="38" spans="1:8" ht="18.75" customHeight="1" x14ac:dyDescent="0.15">
      <c r="A38" s="687" t="s">
        <v>431</v>
      </c>
      <c r="B38" s="677" t="s">
        <v>432</v>
      </c>
      <c r="C38" s="687" t="s">
        <v>433</v>
      </c>
      <c r="D38" s="687" t="s">
        <v>434</v>
      </c>
      <c r="E38" s="687" t="s">
        <v>435</v>
      </c>
      <c r="F38" s="696" t="s">
        <v>436</v>
      </c>
      <c r="G38" s="696" t="s">
        <v>437</v>
      </c>
    </row>
    <row r="39" spans="1:8" ht="18.75" customHeight="1" x14ac:dyDescent="0.15">
      <c r="A39" s="691" t="s">
        <v>377</v>
      </c>
      <c r="B39" s="690" t="s">
        <v>494</v>
      </c>
      <c r="C39" s="697">
        <v>6002232009</v>
      </c>
      <c r="D39" s="697">
        <v>1220560796</v>
      </c>
      <c r="E39" s="693">
        <v>160</v>
      </c>
      <c r="F39" s="690">
        <v>0</v>
      </c>
      <c r="G39" s="850" t="s">
        <v>496</v>
      </c>
      <c r="H39" s="505"/>
    </row>
    <row r="40" spans="1:8" s="505" customFormat="1" ht="21" customHeight="1" x14ac:dyDescent="0.15">
      <c r="A40" s="691" t="s">
        <v>484</v>
      </c>
      <c r="B40" s="690" t="s">
        <v>494</v>
      </c>
      <c r="C40" s="697">
        <v>6002232009</v>
      </c>
      <c r="D40" s="697">
        <v>1220560797</v>
      </c>
      <c r="E40" s="693">
        <v>65</v>
      </c>
      <c r="F40" s="690">
        <v>0</v>
      </c>
      <c r="G40" s="851"/>
    </row>
    <row r="41" spans="1:8" ht="21" customHeight="1" x14ac:dyDescent="0.15">
      <c r="A41" s="691" t="s">
        <v>377</v>
      </c>
      <c r="B41" s="690" t="s">
        <v>495</v>
      </c>
      <c r="C41" s="697">
        <v>1230534277</v>
      </c>
      <c r="D41" s="697">
        <v>1220534277</v>
      </c>
      <c r="E41" s="693">
        <v>40</v>
      </c>
      <c r="F41" s="690">
        <v>621.81230000000005</v>
      </c>
      <c r="G41" s="690" t="s">
        <v>497</v>
      </c>
    </row>
  </sheetData>
  <mergeCells count="11">
    <mergeCell ref="A1:F1"/>
    <mergeCell ref="A13:F13"/>
    <mergeCell ref="A17:F17"/>
    <mergeCell ref="A25:F25"/>
    <mergeCell ref="G39:G40"/>
    <mergeCell ref="A37:F37"/>
    <mergeCell ref="G2:G3"/>
    <mergeCell ref="B2:F2"/>
    <mergeCell ref="A29:A33"/>
    <mergeCell ref="B27:B28"/>
    <mergeCell ref="A27:A28"/>
  </mergeCells>
  <phoneticPr fontId="38" type="noConversion"/>
  <pageMargins left="0.53" right="0.44" top="0.75" bottom="0.16" header="0.31" footer="0.16"/>
  <pageSetup paperSize="9" scale="43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28"/>
  <sheetViews>
    <sheetView workbookViewId="0"/>
  </sheetViews>
  <sheetFormatPr defaultColWidth="9" defaultRowHeight="24" customHeight="1" x14ac:dyDescent="0.15"/>
  <cols>
    <col min="1" max="1" width="6.625" style="114" customWidth="1"/>
    <col min="2" max="2" width="11.375" style="114" customWidth="1"/>
    <col min="3" max="3" width="11.375" style="169" customWidth="1"/>
    <col min="4" max="4" width="16.625" style="114" customWidth="1"/>
    <col min="5" max="19" width="11.125" style="114" customWidth="1"/>
    <col min="20" max="20" width="14.5" style="114" customWidth="1"/>
    <col min="21" max="16384" width="9" style="114"/>
  </cols>
  <sheetData>
    <row r="1" spans="1:24" s="286" customFormat="1" ht="34.5" thickBot="1" x14ac:dyDescent="0.2">
      <c r="A1" s="283" t="s">
        <v>445</v>
      </c>
      <c r="B1" s="284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328" t="s">
        <v>217</v>
      </c>
    </row>
    <row r="2" spans="1:24" s="286" customFormat="1" ht="18" customHeight="1" x14ac:dyDescent="0.15">
      <c r="D2" s="287" t="s">
        <v>216</v>
      </c>
      <c r="T2" s="288" t="s">
        <v>144</v>
      </c>
    </row>
    <row r="3" spans="1:24" s="289" customFormat="1" ht="20.100000000000001" customHeight="1" x14ac:dyDescent="0.15">
      <c r="A3" s="859" t="s">
        <v>145</v>
      </c>
      <c r="B3" s="859"/>
      <c r="C3" s="859"/>
      <c r="D3" s="859" t="s">
        <v>146</v>
      </c>
      <c r="E3" s="296" t="s">
        <v>25</v>
      </c>
      <c r="F3" s="296"/>
      <c r="G3" s="296"/>
      <c r="H3" s="296"/>
      <c r="I3" s="296"/>
      <c r="J3" s="296"/>
      <c r="K3" s="296"/>
      <c r="L3" s="296" t="s">
        <v>15</v>
      </c>
      <c r="M3" s="296"/>
      <c r="N3" s="296"/>
      <c r="O3" s="296"/>
      <c r="P3" s="296"/>
      <c r="Q3" s="296"/>
      <c r="R3" s="296"/>
      <c r="S3" s="859" t="s">
        <v>12</v>
      </c>
      <c r="T3" s="859" t="s">
        <v>147</v>
      </c>
      <c r="X3" s="290"/>
    </row>
    <row r="4" spans="1:24" s="319" customFormat="1" ht="20.100000000000001" customHeight="1" x14ac:dyDescent="0.15">
      <c r="A4" s="859"/>
      <c r="B4" s="859"/>
      <c r="C4" s="859"/>
      <c r="D4" s="859"/>
      <c r="E4" s="341">
        <v>1</v>
      </c>
      <c r="F4" s="341">
        <v>2</v>
      </c>
      <c r="G4" s="341">
        <v>3</v>
      </c>
      <c r="H4" s="341">
        <v>4</v>
      </c>
      <c r="I4" s="341">
        <v>5</v>
      </c>
      <c r="J4" s="341">
        <v>6</v>
      </c>
      <c r="K4" s="342" t="s">
        <v>11</v>
      </c>
      <c r="L4" s="341">
        <v>7</v>
      </c>
      <c r="M4" s="341">
        <v>8</v>
      </c>
      <c r="N4" s="341">
        <v>9</v>
      </c>
      <c r="O4" s="341">
        <v>10</v>
      </c>
      <c r="P4" s="341">
        <v>11</v>
      </c>
      <c r="Q4" s="341">
        <v>12</v>
      </c>
      <c r="R4" s="342" t="s">
        <v>11</v>
      </c>
      <c r="S4" s="859"/>
      <c r="T4" s="859"/>
      <c r="U4" s="318"/>
    </row>
    <row r="5" spans="1:24" s="289" customFormat="1" ht="20.100000000000001" customHeight="1" x14ac:dyDescent="0.15">
      <c r="A5" s="333"/>
      <c r="B5" s="860" t="s">
        <v>26</v>
      </c>
      <c r="C5" s="860"/>
      <c r="D5" s="298">
        <f>D21</f>
        <v>1312230</v>
      </c>
      <c r="E5" s="298">
        <f t="shared" ref="E5:Q5" si="0">E21</f>
        <v>1094</v>
      </c>
      <c r="F5" s="298">
        <f t="shared" si="0"/>
        <v>1457</v>
      </c>
      <c r="G5" s="298">
        <f t="shared" si="0"/>
        <v>1454</v>
      </c>
      <c r="H5" s="298">
        <f t="shared" si="0"/>
        <v>1391</v>
      </c>
      <c r="I5" s="298">
        <f t="shared" si="0"/>
        <v>1725</v>
      </c>
      <c r="J5" s="298">
        <f t="shared" si="0"/>
        <v>1483</v>
      </c>
      <c r="K5" s="325">
        <f t="shared" ref="K5:K10" si="1">SUM(E5:J5)</f>
        <v>8604</v>
      </c>
      <c r="L5" s="298">
        <f t="shared" si="0"/>
        <v>1061</v>
      </c>
      <c r="M5" s="298">
        <f t="shared" si="0"/>
        <v>889</v>
      </c>
      <c r="N5" s="298">
        <f t="shared" si="0"/>
        <v>749</v>
      </c>
      <c r="O5" s="298">
        <f t="shared" si="0"/>
        <v>759</v>
      </c>
      <c r="P5" s="298">
        <f t="shared" si="0"/>
        <v>786</v>
      </c>
      <c r="Q5" s="298">
        <f t="shared" si="0"/>
        <v>810</v>
      </c>
      <c r="R5" s="325">
        <f t="shared" ref="R5:R10" si="2">SUM(L5:Q5)</f>
        <v>5054</v>
      </c>
      <c r="S5" s="298">
        <f t="shared" ref="S5:S10" si="3">K5+R5</f>
        <v>13658</v>
      </c>
      <c r="T5" s="298">
        <f>D5+S5</f>
        <v>1325888</v>
      </c>
      <c r="U5" s="317"/>
    </row>
    <row r="6" spans="1:24" s="289" customFormat="1" ht="20.100000000000001" customHeight="1" x14ac:dyDescent="0.15">
      <c r="A6" s="334" t="s">
        <v>150</v>
      </c>
      <c r="B6" s="860" t="s">
        <v>228</v>
      </c>
      <c r="C6" s="860"/>
      <c r="D6" s="326">
        <v>28476</v>
      </c>
      <c r="E6" s="326">
        <v>53</v>
      </c>
      <c r="F6" s="326">
        <v>53</v>
      </c>
      <c r="G6" s="326">
        <v>58</v>
      </c>
      <c r="H6" s="326">
        <v>59</v>
      </c>
      <c r="I6" s="326">
        <v>56</v>
      </c>
      <c r="J6" s="326">
        <v>58</v>
      </c>
      <c r="K6" s="325">
        <f t="shared" si="1"/>
        <v>337</v>
      </c>
      <c r="L6" s="326">
        <v>55</v>
      </c>
      <c r="M6" s="326">
        <v>50</v>
      </c>
      <c r="N6" s="326">
        <v>50</v>
      </c>
      <c r="O6" s="326">
        <v>54</v>
      </c>
      <c r="P6" s="326">
        <v>58</v>
      </c>
      <c r="Q6" s="326">
        <v>55</v>
      </c>
      <c r="R6" s="325">
        <f t="shared" si="2"/>
        <v>322</v>
      </c>
      <c r="S6" s="298">
        <f t="shared" si="3"/>
        <v>659</v>
      </c>
      <c r="T6" s="298">
        <f>D6+S6</f>
        <v>29135</v>
      </c>
      <c r="U6" s="317"/>
    </row>
    <row r="7" spans="1:24" s="289" customFormat="1" ht="20.100000000000001" customHeight="1" x14ac:dyDescent="0.15">
      <c r="A7" s="334"/>
      <c r="B7" s="860" t="s">
        <v>27</v>
      </c>
      <c r="C7" s="860"/>
      <c r="D7" s="326">
        <v>14091</v>
      </c>
      <c r="E7" s="326">
        <v>25</v>
      </c>
      <c r="F7" s="326">
        <v>23</v>
      </c>
      <c r="G7" s="326">
        <v>24</v>
      </c>
      <c r="H7" s="326">
        <v>25</v>
      </c>
      <c r="I7" s="326">
        <v>19</v>
      </c>
      <c r="J7" s="326">
        <v>22</v>
      </c>
      <c r="K7" s="325">
        <f t="shared" si="1"/>
        <v>138</v>
      </c>
      <c r="L7" s="326">
        <v>26</v>
      </c>
      <c r="M7" s="326">
        <v>21</v>
      </c>
      <c r="N7" s="326">
        <v>21</v>
      </c>
      <c r="O7" s="326">
        <v>25</v>
      </c>
      <c r="P7" s="326">
        <v>23</v>
      </c>
      <c r="Q7" s="326">
        <v>26</v>
      </c>
      <c r="R7" s="325">
        <f t="shared" si="2"/>
        <v>142</v>
      </c>
      <c r="S7" s="298">
        <f t="shared" si="3"/>
        <v>280</v>
      </c>
      <c r="T7" s="298">
        <f>D7+S7</f>
        <v>14371</v>
      </c>
      <c r="U7" s="317"/>
    </row>
    <row r="8" spans="1:24" s="289" customFormat="1" ht="20.100000000000001" customHeight="1" x14ac:dyDescent="0.15">
      <c r="A8" s="334"/>
      <c r="B8" s="860" t="s">
        <v>29</v>
      </c>
      <c r="C8" s="860"/>
      <c r="D8" s="326">
        <v>1445</v>
      </c>
      <c r="E8" s="326">
        <v>1</v>
      </c>
      <c r="F8" s="326">
        <v>3</v>
      </c>
      <c r="G8" s="326">
        <v>0</v>
      </c>
      <c r="H8" s="326">
        <v>1</v>
      </c>
      <c r="I8" s="326">
        <v>1</v>
      </c>
      <c r="J8" s="326">
        <v>1</v>
      </c>
      <c r="K8" s="325">
        <f t="shared" si="1"/>
        <v>7</v>
      </c>
      <c r="L8" s="326">
        <v>0</v>
      </c>
      <c r="M8" s="326">
        <v>1</v>
      </c>
      <c r="N8" s="326">
        <v>1</v>
      </c>
      <c r="O8" s="326">
        <v>1</v>
      </c>
      <c r="P8" s="326">
        <v>1</v>
      </c>
      <c r="Q8" s="326">
        <v>2</v>
      </c>
      <c r="R8" s="325">
        <f t="shared" si="2"/>
        <v>6</v>
      </c>
      <c r="S8" s="298">
        <f t="shared" si="3"/>
        <v>13</v>
      </c>
      <c r="T8" s="298">
        <f>D8+S8</f>
        <v>1458</v>
      </c>
      <c r="U8" s="317"/>
    </row>
    <row r="9" spans="1:24" s="289" customFormat="1" ht="20.100000000000001" customHeight="1" x14ac:dyDescent="0.15">
      <c r="A9" s="334" t="s">
        <v>28</v>
      </c>
      <c r="B9" s="860" t="s">
        <v>151</v>
      </c>
      <c r="C9" s="860"/>
      <c r="D9" s="326">
        <v>120</v>
      </c>
      <c r="E9" s="326">
        <v>0</v>
      </c>
      <c r="F9" s="326">
        <v>1</v>
      </c>
      <c r="G9" s="326">
        <v>0</v>
      </c>
      <c r="H9" s="326">
        <v>0</v>
      </c>
      <c r="I9" s="326">
        <v>0</v>
      </c>
      <c r="J9" s="326">
        <v>0</v>
      </c>
      <c r="K9" s="325">
        <f t="shared" si="1"/>
        <v>1</v>
      </c>
      <c r="L9" s="326">
        <v>0</v>
      </c>
      <c r="M9" s="326">
        <v>1</v>
      </c>
      <c r="N9" s="326">
        <v>0</v>
      </c>
      <c r="O9" s="326">
        <v>0</v>
      </c>
      <c r="P9" s="326">
        <v>1</v>
      </c>
      <c r="Q9" s="326">
        <v>1</v>
      </c>
      <c r="R9" s="325">
        <f t="shared" si="2"/>
        <v>3</v>
      </c>
      <c r="S9" s="298">
        <f t="shared" si="3"/>
        <v>4</v>
      </c>
      <c r="T9" s="298">
        <f>D9+S9</f>
        <v>124</v>
      </c>
      <c r="U9" s="317"/>
    </row>
    <row r="10" spans="1:24" s="289" customFormat="1" ht="20.100000000000001" customHeight="1" x14ac:dyDescent="0.15">
      <c r="A10" s="334"/>
      <c r="B10" s="859" t="s">
        <v>11</v>
      </c>
      <c r="C10" s="859"/>
      <c r="D10" s="291">
        <f t="shared" ref="D10:J10" si="4">SUM(D5:D9)</f>
        <v>1356362</v>
      </c>
      <c r="E10" s="291">
        <f t="shared" si="4"/>
        <v>1173</v>
      </c>
      <c r="F10" s="291">
        <f t="shared" si="4"/>
        <v>1537</v>
      </c>
      <c r="G10" s="291">
        <f t="shared" si="4"/>
        <v>1536</v>
      </c>
      <c r="H10" s="291">
        <f t="shared" si="4"/>
        <v>1476</v>
      </c>
      <c r="I10" s="291">
        <f t="shared" si="4"/>
        <v>1801</v>
      </c>
      <c r="J10" s="291">
        <f t="shared" si="4"/>
        <v>1564</v>
      </c>
      <c r="K10" s="325">
        <f t="shared" si="1"/>
        <v>9087</v>
      </c>
      <c r="L10" s="291">
        <f t="shared" ref="L10:Q10" si="5">SUM(L5:L9)</f>
        <v>1142</v>
      </c>
      <c r="M10" s="291">
        <f t="shared" si="5"/>
        <v>962</v>
      </c>
      <c r="N10" s="291">
        <f t="shared" si="5"/>
        <v>821</v>
      </c>
      <c r="O10" s="291">
        <f t="shared" si="5"/>
        <v>839</v>
      </c>
      <c r="P10" s="291">
        <f t="shared" si="5"/>
        <v>869</v>
      </c>
      <c r="Q10" s="291">
        <f t="shared" si="5"/>
        <v>894</v>
      </c>
      <c r="R10" s="325">
        <f t="shared" si="2"/>
        <v>5527</v>
      </c>
      <c r="S10" s="291">
        <f t="shared" si="3"/>
        <v>14614</v>
      </c>
      <c r="T10" s="291">
        <f>SUM(T5:T9)</f>
        <v>1370976</v>
      </c>
      <c r="U10" s="317"/>
    </row>
    <row r="11" spans="1:24" s="289" customFormat="1" ht="20.100000000000001" customHeight="1" x14ac:dyDescent="0.15">
      <c r="A11" s="335"/>
      <c r="B11" s="860"/>
      <c r="C11" s="860"/>
      <c r="D11" s="298" t="b">
        <f>EXACT(SUM(D5:D9),D10)</f>
        <v>1</v>
      </c>
      <c r="E11" s="298" t="b">
        <f t="shared" ref="E11:T11" si="6">EXACT(SUM(E5:E9),E10)</f>
        <v>1</v>
      </c>
      <c r="F11" s="298" t="b">
        <f t="shared" si="6"/>
        <v>1</v>
      </c>
      <c r="G11" s="298" t="b">
        <f t="shared" si="6"/>
        <v>1</v>
      </c>
      <c r="H11" s="298" t="b">
        <f t="shared" si="6"/>
        <v>1</v>
      </c>
      <c r="I11" s="298" t="b">
        <f t="shared" si="6"/>
        <v>1</v>
      </c>
      <c r="J11" s="298" t="b">
        <f t="shared" si="6"/>
        <v>1</v>
      </c>
      <c r="K11" s="325" t="b">
        <f t="shared" si="6"/>
        <v>1</v>
      </c>
      <c r="L11" s="298" t="b">
        <f t="shared" si="6"/>
        <v>1</v>
      </c>
      <c r="M11" s="298" t="b">
        <f t="shared" si="6"/>
        <v>1</v>
      </c>
      <c r="N11" s="298" t="b">
        <f t="shared" si="6"/>
        <v>1</v>
      </c>
      <c r="O11" s="298" t="b">
        <f t="shared" si="6"/>
        <v>1</v>
      </c>
      <c r="P11" s="298" t="b">
        <f t="shared" si="6"/>
        <v>1</v>
      </c>
      <c r="Q11" s="298" t="b">
        <f t="shared" si="6"/>
        <v>1</v>
      </c>
      <c r="R11" s="325" t="b">
        <f t="shared" si="6"/>
        <v>1</v>
      </c>
      <c r="S11" s="298" t="b">
        <f t="shared" si="6"/>
        <v>1</v>
      </c>
      <c r="T11" s="298" t="b">
        <f t="shared" si="6"/>
        <v>1</v>
      </c>
      <c r="U11" s="317"/>
    </row>
    <row r="12" spans="1:24" s="289" customFormat="1" ht="20.100000000000001" customHeight="1" x14ac:dyDescent="0.15">
      <c r="A12" s="321" t="s">
        <v>30</v>
      </c>
      <c r="B12" s="321"/>
      <c r="C12" s="321"/>
      <c r="D12" s="298">
        <f>D10</f>
        <v>1356362</v>
      </c>
      <c r="E12" s="298">
        <f t="shared" ref="E12:J12" si="7">D12+E10</f>
        <v>1357535</v>
      </c>
      <c r="F12" s="298">
        <f t="shared" si="7"/>
        <v>1359072</v>
      </c>
      <c r="G12" s="298">
        <f t="shared" si="7"/>
        <v>1360608</v>
      </c>
      <c r="H12" s="298">
        <f t="shared" si="7"/>
        <v>1362084</v>
      </c>
      <c r="I12" s="298">
        <f t="shared" si="7"/>
        <v>1363885</v>
      </c>
      <c r="J12" s="298">
        <f t="shared" si="7"/>
        <v>1365449</v>
      </c>
      <c r="K12" s="325">
        <f>J12</f>
        <v>1365449</v>
      </c>
      <c r="L12" s="298">
        <f t="shared" ref="L12:Q12" si="8">K12+L10</f>
        <v>1366591</v>
      </c>
      <c r="M12" s="298">
        <f t="shared" si="8"/>
        <v>1367553</v>
      </c>
      <c r="N12" s="298">
        <f t="shared" si="8"/>
        <v>1368374</v>
      </c>
      <c r="O12" s="298">
        <f t="shared" si="8"/>
        <v>1369213</v>
      </c>
      <c r="P12" s="298">
        <f t="shared" si="8"/>
        <v>1370082</v>
      </c>
      <c r="Q12" s="298">
        <f t="shared" si="8"/>
        <v>1370976</v>
      </c>
      <c r="R12" s="325">
        <f>Q12</f>
        <v>1370976</v>
      </c>
      <c r="S12" s="298">
        <f>R12</f>
        <v>1370976</v>
      </c>
      <c r="T12" s="298" t="b">
        <f>EXACT(T10,S12)</f>
        <v>1</v>
      </c>
      <c r="U12" s="317"/>
    </row>
    <row r="13" spans="1:24" s="289" customFormat="1" ht="20.100000000000001" customHeight="1" x14ac:dyDescent="0.15">
      <c r="A13" s="323"/>
      <c r="B13" s="862" t="s">
        <v>302</v>
      </c>
      <c r="C13" s="862"/>
      <c r="D13" s="325"/>
      <c r="E13" s="325">
        <f>E10</f>
        <v>1173</v>
      </c>
      <c r="F13" s="325">
        <f>E13+F10</f>
        <v>2710</v>
      </c>
      <c r="G13" s="325">
        <f>F13+G10</f>
        <v>4246</v>
      </c>
      <c r="H13" s="325">
        <f>G13+H10</f>
        <v>5722</v>
      </c>
      <c r="I13" s="325">
        <f>H13+I10</f>
        <v>7523</v>
      </c>
      <c r="J13" s="325">
        <f>I13+J10</f>
        <v>9087</v>
      </c>
      <c r="K13" s="325">
        <f>J13</f>
        <v>9087</v>
      </c>
      <c r="L13" s="325">
        <f t="shared" ref="L13:Q13" si="9">K13+L10</f>
        <v>10229</v>
      </c>
      <c r="M13" s="325">
        <f t="shared" si="9"/>
        <v>11191</v>
      </c>
      <c r="N13" s="325">
        <f t="shared" si="9"/>
        <v>12012</v>
      </c>
      <c r="O13" s="325">
        <f t="shared" si="9"/>
        <v>12851</v>
      </c>
      <c r="P13" s="325">
        <f t="shared" si="9"/>
        <v>13720</v>
      </c>
      <c r="Q13" s="325">
        <f t="shared" si="9"/>
        <v>14614</v>
      </c>
      <c r="R13" s="325">
        <f>Q13</f>
        <v>14614</v>
      </c>
      <c r="S13" s="325">
        <f>R13</f>
        <v>14614</v>
      </c>
      <c r="T13" s="453"/>
      <c r="U13" s="317"/>
    </row>
    <row r="14" spans="1:24" s="289" customFormat="1" ht="20.100000000000001" customHeight="1" x14ac:dyDescent="0.15">
      <c r="A14" s="334"/>
      <c r="B14" s="860" t="s">
        <v>303</v>
      </c>
      <c r="C14" s="860"/>
      <c r="D14" s="298"/>
      <c r="E14" s="326"/>
      <c r="F14" s="326"/>
      <c r="G14" s="326"/>
      <c r="H14" s="326"/>
      <c r="I14" s="326"/>
      <c r="J14" s="326"/>
      <c r="K14" s="453">
        <f>SUM(E14:J14)</f>
        <v>0</v>
      </c>
      <c r="L14" s="326"/>
      <c r="M14" s="326"/>
      <c r="N14" s="326"/>
      <c r="O14" s="326"/>
      <c r="P14" s="326"/>
      <c r="Q14" s="326"/>
      <c r="R14" s="453">
        <f>SUM(L14:Q14)</f>
        <v>0</v>
      </c>
      <c r="S14" s="453">
        <f>K14+R14</f>
        <v>0</v>
      </c>
      <c r="T14" s="453"/>
      <c r="U14" s="317"/>
    </row>
    <row r="15" spans="1:24" s="289" customFormat="1" ht="20.100000000000001" customHeight="1" thickBot="1" x14ac:dyDescent="0.2">
      <c r="A15" s="334"/>
      <c r="B15" s="860" t="s">
        <v>304</v>
      </c>
      <c r="C15" s="860"/>
      <c r="D15" s="298"/>
      <c r="E15" s="454">
        <f>E14</f>
        <v>0</v>
      </c>
      <c r="F15" s="454">
        <f>E15+F14</f>
        <v>0</v>
      </c>
      <c r="G15" s="454">
        <f>F15+G14</f>
        <v>0</v>
      </c>
      <c r="H15" s="454">
        <f>G15+H14</f>
        <v>0</v>
      </c>
      <c r="I15" s="454">
        <f>H15+I14</f>
        <v>0</v>
      </c>
      <c r="J15" s="454">
        <f>I15+J14</f>
        <v>0</v>
      </c>
      <c r="K15" s="454">
        <f>J15</f>
        <v>0</v>
      </c>
      <c r="L15" s="454">
        <f t="shared" ref="L15:Q15" si="10">K15+L14</f>
        <v>0</v>
      </c>
      <c r="M15" s="454">
        <f t="shared" si="10"/>
        <v>0</v>
      </c>
      <c r="N15" s="454">
        <f t="shared" si="10"/>
        <v>0</v>
      </c>
      <c r="O15" s="454">
        <f t="shared" si="10"/>
        <v>0</v>
      </c>
      <c r="P15" s="454">
        <f t="shared" si="10"/>
        <v>0</v>
      </c>
      <c r="Q15" s="454">
        <f t="shared" si="10"/>
        <v>0</v>
      </c>
      <c r="R15" s="454">
        <f>Q15</f>
        <v>0</v>
      </c>
      <c r="S15" s="454">
        <f>R15</f>
        <v>0</v>
      </c>
      <c r="T15" s="453"/>
      <c r="U15" s="317"/>
    </row>
    <row r="16" spans="1:24" s="289" customFormat="1" ht="20.100000000000001" customHeight="1" thickBot="1" x14ac:dyDescent="0.2">
      <c r="A16" s="334"/>
      <c r="B16" s="860" t="s">
        <v>305</v>
      </c>
      <c r="C16" s="860"/>
      <c r="D16" s="455"/>
      <c r="E16" s="456">
        <f t="shared" ref="E16:S16" si="11">E15/$S$10</f>
        <v>0</v>
      </c>
      <c r="F16" s="457">
        <f t="shared" si="11"/>
        <v>0</v>
      </c>
      <c r="G16" s="457">
        <f t="shared" si="11"/>
        <v>0</v>
      </c>
      <c r="H16" s="457">
        <f t="shared" si="11"/>
        <v>0</v>
      </c>
      <c r="I16" s="457">
        <f t="shared" si="11"/>
        <v>0</v>
      </c>
      <c r="J16" s="457">
        <f t="shared" si="11"/>
        <v>0</v>
      </c>
      <c r="K16" s="457">
        <f t="shared" si="11"/>
        <v>0</v>
      </c>
      <c r="L16" s="457">
        <f t="shared" si="11"/>
        <v>0</v>
      </c>
      <c r="M16" s="457">
        <f t="shared" si="11"/>
        <v>0</v>
      </c>
      <c r="N16" s="457">
        <f t="shared" si="11"/>
        <v>0</v>
      </c>
      <c r="O16" s="457">
        <f t="shared" si="11"/>
        <v>0</v>
      </c>
      <c r="P16" s="457">
        <f t="shared" si="11"/>
        <v>0</v>
      </c>
      <c r="Q16" s="457">
        <f t="shared" si="11"/>
        <v>0</v>
      </c>
      <c r="R16" s="457">
        <f t="shared" si="11"/>
        <v>0</v>
      </c>
      <c r="S16" s="458">
        <f t="shared" si="11"/>
        <v>0</v>
      </c>
      <c r="T16" s="459"/>
      <c r="U16" s="317"/>
    </row>
    <row r="17" spans="1:21" ht="24" customHeight="1" x14ac:dyDescent="0.15">
      <c r="E17" s="470">
        <f t="shared" ref="E17:J17" si="12">E15/E13</f>
        <v>0</v>
      </c>
      <c r="F17" s="470">
        <f t="shared" si="12"/>
        <v>0</v>
      </c>
      <c r="G17" s="470">
        <f t="shared" si="12"/>
        <v>0</v>
      </c>
      <c r="H17" s="470">
        <f t="shared" si="12"/>
        <v>0</v>
      </c>
      <c r="I17" s="470">
        <f t="shared" si="12"/>
        <v>0</v>
      </c>
      <c r="J17" s="470">
        <f t="shared" si="12"/>
        <v>0</v>
      </c>
      <c r="L17" s="470">
        <f t="shared" ref="L17:Q17" si="13">L15/L13</f>
        <v>0</v>
      </c>
      <c r="M17" s="470">
        <f t="shared" si="13"/>
        <v>0</v>
      </c>
      <c r="N17" s="470">
        <f t="shared" si="13"/>
        <v>0</v>
      </c>
      <c r="O17" s="470">
        <f t="shared" si="13"/>
        <v>0</v>
      </c>
      <c r="P17" s="470">
        <f t="shared" si="13"/>
        <v>0</v>
      </c>
      <c r="Q17" s="470">
        <f t="shared" si="13"/>
        <v>0</v>
      </c>
      <c r="U17" s="317"/>
    </row>
    <row r="18" spans="1:21" ht="24" customHeight="1" x14ac:dyDescent="0.15">
      <c r="U18" s="317"/>
    </row>
    <row r="19" spans="1:21" ht="24" customHeight="1" x14ac:dyDescent="0.15">
      <c r="A19" s="861" t="s">
        <v>212</v>
      </c>
      <c r="B19" s="861" t="s">
        <v>213</v>
      </c>
      <c r="C19" s="861"/>
      <c r="D19" s="327">
        <v>807647</v>
      </c>
      <c r="E19" s="327">
        <v>873</v>
      </c>
      <c r="F19" s="327">
        <v>1302</v>
      </c>
      <c r="G19" s="327">
        <v>1333</v>
      </c>
      <c r="H19" s="327">
        <v>1271</v>
      </c>
      <c r="I19" s="327">
        <v>1610</v>
      </c>
      <c r="J19" s="327">
        <v>1363</v>
      </c>
      <c r="K19" s="330">
        <f>SUM(E19:J19)</f>
        <v>7752</v>
      </c>
      <c r="L19" s="327">
        <v>920</v>
      </c>
      <c r="M19" s="327">
        <v>755</v>
      </c>
      <c r="N19" s="327">
        <v>603</v>
      </c>
      <c r="O19" s="327">
        <v>599</v>
      </c>
      <c r="P19" s="327">
        <v>593</v>
      </c>
      <c r="Q19" s="327">
        <v>567</v>
      </c>
      <c r="R19" s="330">
        <f>SUM(L19:Q19)</f>
        <v>4037</v>
      </c>
      <c r="S19" s="329">
        <f>K19+R19</f>
        <v>11789</v>
      </c>
      <c r="T19" s="320">
        <f>D19+S19</f>
        <v>819436</v>
      </c>
      <c r="U19" s="317"/>
    </row>
    <row r="20" spans="1:21" ht="24" customHeight="1" x14ac:dyDescent="0.15">
      <c r="A20" s="861"/>
      <c r="B20" s="861" t="s">
        <v>214</v>
      </c>
      <c r="C20" s="861"/>
      <c r="D20" s="327">
        <v>504583</v>
      </c>
      <c r="E20" s="327">
        <v>221</v>
      </c>
      <c r="F20" s="327">
        <v>155</v>
      </c>
      <c r="G20" s="327">
        <v>121</v>
      </c>
      <c r="H20" s="327">
        <v>120</v>
      </c>
      <c r="I20" s="327">
        <v>115</v>
      </c>
      <c r="J20" s="327">
        <v>120</v>
      </c>
      <c r="K20" s="330">
        <f>SUM(E20:J20)</f>
        <v>852</v>
      </c>
      <c r="L20" s="327">
        <v>141</v>
      </c>
      <c r="M20" s="327">
        <v>134</v>
      </c>
      <c r="N20" s="327">
        <v>146</v>
      </c>
      <c r="O20" s="327">
        <v>160</v>
      </c>
      <c r="P20" s="327">
        <v>193</v>
      </c>
      <c r="Q20" s="327">
        <v>243</v>
      </c>
      <c r="R20" s="330">
        <f>SUM(L20:Q20)</f>
        <v>1017</v>
      </c>
      <c r="S20" s="329">
        <f>K20+R20</f>
        <v>1869</v>
      </c>
      <c r="T20" s="320">
        <f>D20+S20</f>
        <v>506452</v>
      </c>
      <c r="U20" s="317"/>
    </row>
    <row r="21" spans="1:21" ht="24" customHeight="1" x14ac:dyDescent="0.15">
      <c r="A21" s="861"/>
      <c r="B21" s="861" t="s">
        <v>215</v>
      </c>
      <c r="C21" s="861"/>
      <c r="D21" s="329">
        <f t="shared" ref="D21:T21" si="14">SUM(D19:D20)</f>
        <v>1312230</v>
      </c>
      <c r="E21" s="329">
        <f t="shared" si="14"/>
        <v>1094</v>
      </c>
      <c r="F21" s="329">
        <f t="shared" si="14"/>
        <v>1457</v>
      </c>
      <c r="G21" s="329">
        <f t="shared" si="14"/>
        <v>1454</v>
      </c>
      <c r="H21" s="329">
        <f t="shared" si="14"/>
        <v>1391</v>
      </c>
      <c r="I21" s="329">
        <f t="shared" si="14"/>
        <v>1725</v>
      </c>
      <c r="J21" s="329">
        <f t="shared" si="14"/>
        <v>1483</v>
      </c>
      <c r="K21" s="331">
        <f t="shared" si="14"/>
        <v>8604</v>
      </c>
      <c r="L21" s="329">
        <f t="shared" si="14"/>
        <v>1061</v>
      </c>
      <c r="M21" s="329">
        <f t="shared" si="14"/>
        <v>889</v>
      </c>
      <c r="N21" s="329">
        <f t="shared" si="14"/>
        <v>749</v>
      </c>
      <c r="O21" s="329">
        <f t="shared" si="14"/>
        <v>759</v>
      </c>
      <c r="P21" s="329">
        <f t="shared" si="14"/>
        <v>786</v>
      </c>
      <c r="Q21" s="329">
        <f t="shared" si="14"/>
        <v>810</v>
      </c>
      <c r="R21" s="331">
        <f t="shared" si="14"/>
        <v>5054</v>
      </c>
      <c r="S21" s="329">
        <f t="shared" si="14"/>
        <v>13658</v>
      </c>
      <c r="T21" s="329">
        <f t="shared" si="14"/>
        <v>1325888</v>
      </c>
      <c r="U21" s="317"/>
    </row>
    <row r="22" spans="1:21" ht="24" customHeight="1" x14ac:dyDescent="0.15">
      <c r="D22" s="169" t="s">
        <v>281</v>
      </c>
      <c r="E22" s="169" t="s">
        <v>282</v>
      </c>
      <c r="F22" s="169" t="s">
        <v>283</v>
      </c>
      <c r="G22" s="169" t="s">
        <v>284</v>
      </c>
      <c r="H22" s="169" t="s">
        <v>285</v>
      </c>
      <c r="I22" s="169" t="s">
        <v>286</v>
      </c>
      <c r="J22" s="169" t="s">
        <v>287</v>
      </c>
      <c r="L22" s="169" t="s">
        <v>288</v>
      </c>
      <c r="M22" s="169" t="s">
        <v>289</v>
      </c>
      <c r="N22" s="169" t="s">
        <v>290</v>
      </c>
      <c r="O22" s="169" t="s">
        <v>291</v>
      </c>
      <c r="P22" s="169" t="s">
        <v>292</v>
      </c>
      <c r="U22" s="317"/>
    </row>
    <row r="23" spans="1:21" ht="24" customHeight="1" x14ac:dyDescent="0.15">
      <c r="C23" s="307" t="s">
        <v>213</v>
      </c>
      <c r="D23" s="305"/>
      <c r="E23" s="310">
        <f>E19</f>
        <v>873</v>
      </c>
      <c r="F23" s="310">
        <f>E23+F19</f>
        <v>2175</v>
      </c>
      <c r="G23" s="310">
        <f>F23+G19</f>
        <v>3508</v>
      </c>
      <c r="H23" s="310">
        <f t="shared" ref="H23:J24" si="15">G23+H19</f>
        <v>4779</v>
      </c>
      <c r="I23" s="310">
        <f t="shared" si="15"/>
        <v>6389</v>
      </c>
      <c r="J23" s="320">
        <f t="shared" si="15"/>
        <v>7752</v>
      </c>
      <c r="K23" s="405"/>
      <c r="L23" s="320">
        <f>J23+L19</f>
        <v>8672</v>
      </c>
      <c r="M23" s="320">
        <f>L23+M19</f>
        <v>9427</v>
      </c>
      <c r="N23" s="320">
        <f t="shared" ref="N23:Q24" si="16">M23+N19</f>
        <v>10030</v>
      </c>
      <c r="O23" s="320">
        <f t="shared" si="16"/>
        <v>10629</v>
      </c>
      <c r="P23" s="320">
        <f t="shared" si="16"/>
        <v>11222</v>
      </c>
      <c r="Q23" s="320">
        <f t="shared" si="16"/>
        <v>11789</v>
      </c>
      <c r="R23" s="406"/>
      <c r="U23" s="317"/>
    </row>
    <row r="24" spans="1:21" ht="24" customHeight="1" x14ac:dyDescent="0.15">
      <c r="C24" s="307" t="s">
        <v>214</v>
      </c>
      <c r="D24" s="305"/>
      <c r="E24" s="310">
        <f>E20</f>
        <v>221</v>
      </c>
      <c r="F24" s="310">
        <f>E24+F20</f>
        <v>376</v>
      </c>
      <c r="G24" s="310">
        <f>F24+G20</f>
        <v>497</v>
      </c>
      <c r="H24" s="310">
        <f t="shared" si="15"/>
        <v>617</v>
      </c>
      <c r="I24" s="310">
        <f t="shared" si="15"/>
        <v>732</v>
      </c>
      <c r="J24" s="320">
        <f t="shared" si="15"/>
        <v>852</v>
      </c>
      <c r="K24" s="405"/>
      <c r="L24" s="320">
        <f>J24+L20</f>
        <v>993</v>
      </c>
      <c r="M24" s="320">
        <f>L24+M20</f>
        <v>1127</v>
      </c>
      <c r="N24" s="320">
        <f t="shared" si="16"/>
        <v>1273</v>
      </c>
      <c r="O24" s="320">
        <f t="shared" si="16"/>
        <v>1433</v>
      </c>
      <c r="P24" s="320">
        <f t="shared" si="16"/>
        <v>1626</v>
      </c>
      <c r="Q24" s="320">
        <f t="shared" si="16"/>
        <v>1869</v>
      </c>
      <c r="R24" s="406" t="b">
        <f>EXACT(SUM(Q23:Q24),S5)</f>
        <v>1</v>
      </c>
      <c r="T24" s="113"/>
      <c r="U24" s="317"/>
    </row>
    <row r="25" spans="1:21" ht="24" customHeight="1" x14ac:dyDescent="0.15">
      <c r="C25" s="307" t="s">
        <v>275</v>
      </c>
      <c r="D25" s="305"/>
      <c r="E25" s="310">
        <f>E6</f>
        <v>53</v>
      </c>
      <c r="F25" s="310">
        <f>E25+F6</f>
        <v>106</v>
      </c>
      <c r="G25" s="310">
        <f>F25+G6</f>
        <v>164</v>
      </c>
      <c r="H25" s="310">
        <f>G25+H6</f>
        <v>223</v>
      </c>
      <c r="I25" s="310">
        <f>H25+I6</f>
        <v>279</v>
      </c>
      <c r="J25" s="320">
        <f>I25+J6</f>
        <v>337</v>
      </c>
      <c r="K25" s="405"/>
      <c r="L25" s="320">
        <f>J25+L6</f>
        <v>392</v>
      </c>
      <c r="M25" s="320">
        <f>L25+M6</f>
        <v>442</v>
      </c>
      <c r="N25" s="320">
        <f>M25+N6</f>
        <v>492</v>
      </c>
      <c r="O25" s="320">
        <f>N25+O6</f>
        <v>546</v>
      </c>
      <c r="P25" s="320">
        <f>O25+P6</f>
        <v>604</v>
      </c>
      <c r="Q25" s="320">
        <f>P25+Q6</f>
        <v>659</v>
      </c>
      <c r="R25" s="406" t="b">
        <f>EXACT(Q25,S6)</f>
        <v>1</v>
      </c>
      <c r="U25" s="317"/>
    </row>
    <row r="26" spans="1:21" ht="24" customHeight="1" x14ac:dyDescent="0.15">
      <c r="C26" s="307" t="s">
        <v>276</v>
      </c>
      <c r="D26" s="305"/>
      <c r="E26" s="310">
        <f>E7</f>
        <v>25</v>
      </c>
      <c r="F26" s="310">
        <f>E26+F7</f>
        <v>48</v>
      </c>
      <c r="G26" s="310">
        <f t="shared" ref="G26:J28" si="17">F26+G7</f>
        <v>72</v>
      </c>
      <c r="H26" s="310">
        <f t="shared" si="17"/>
        <v>97</v>
      </c>
      <c r="I26" s="310">
        <f t="shared" si="17"/>
        <v>116</v>
      </c>
      <c r="J26" s="320">
        <f t="shared" si="17"/>
        <v>138</v>
      </c>
      <c r="K26" s="405"/>
      <c r="L26" s="320">
        <f>J26+L7</f>
        <v>164</v>
      </c>
      <c r="M26" s="320">
        <f>L26+M7</f>
        <v>185</v>
      </c>
      <c r="N26" s="320">
        <f t="shared" ref="N26:Q28" si="18">M26+N7</f>
        <v>206</v>
      </c>
      <c r="O26" s="320">
        <f t="shared" si="18"/>
        <v>231</v>
      </c>
      <c r="P26" s="320">
        <f t="shared" si="18"/>
        <v>254</v>
      </c>
      <c r="Q26" s="320">
        <f t="shared" si="18"/>
        <v>280</v>
      </c>
      <c r="R26" s="406" t="b">
        <f>EXACT(Q26,S7)</f>
        <v>1</v>
      </c>
      <c r="U26" s="317"/>
    </row>
    <row r="27" spans="1:21" ht="24" customHeight="1" x14ac:dyDescent="0.15">
      <c r="C27" s="307" t="s">
        <v>277</v>
      </c>
      <c r="D27" s="305"/>
      <c r="E27" s="310">
        <f>E8</f>
        <v>1</v>
      </c>
      <c r="F27" s="310">
        <f>E27+F8</f>
        <v>4</v>
      </c>
      <c r="G27" s="310">
        <f t="shared" si="17"/>
        <v>4</v>
      </c>
      <c r="H27" s="310">
        <f t="shared" si="17"/>
        <v>5</v>
      </c>
      <c r="I27" s="310">
        <f t="shared" si="17"/>
        <v>6</v>
      </c>
      <c r="J27" s="320">
        <f t="shared" si="17"/>
        <v>7</v>
      </c>
      <c r="K27" s="405"/>
      <c r="L27" s="320">
        <f>J27+L8</f>
        <v>7</v>
      </c>
      <c r="M27" s="320">
        <f>L27+M8</f>
        <v>8</v>
      </c>
      <c r="N27" s="320">
        <f t="shared" si="18"/>
        <v>9</v>
      </c>
      <c r="O27" s="320">
        <f t="shared" si="18"/>
        <v>10</v>
      </c>
      <c r="P27" s="320">
        <f t="shared" si="18"/>
        <v>11</v>
      </c>
      <c r="Q27" s="320">
        <f t="shared" si="18"/>
        <v>13</v>
      </c>
      <c r="R27" s="406" t="b">
        <f>EXACT(Q27,S8)</f>
        <v>1</v>
      </c>
      <c r="U27" s="317"/>
    </row>
    <row r="28" spans="1:21" ht="24" customHeight="1" x14ac:dyDescent="0.15">
      <c r="C28" s="307" t="s">
        <v>278</v>
      </c>
      <c r="D28" s="305"/>
      <c r="E28" s="310">
        <f>E9</f>
        <v>0</v>
      </c>
      <c r="F28" s="310">
        <f>E28+F9</f>
        <v>1</v>
      </c>
      <c r="G28" s="310">
        <f t="shared" si="17"/>
        <v>1</v>
      </c>
      <c r="H28" s="310">
        <f t="shared" si="17"/>
        <v>1</v>
      </c>
      <c r="I28" s="310">
        <f t="shared" si="17"/>
        <v>1</v>
      </c>
      <c r="J28" s="320">
        <f t="shared" si="17"/>
        <v>1</v>
      </c>
      <c r="K28" s="405"/>
      <c r="L28" s="320">
        <f>J28+L9</f>
        <v>1</v>
      </c>
      <c r="M28" s="320">
        <f>L28+M9</f>
        <v>2</v>
      </c>
      <c r="N28" s="320">
        <f t="shared" si="18"/>
        <v>2</v>
      </c>
      <c r="O28" s="320">
        <f t="shared" si="18"/>
        <v>2</v>
      </c>
      <c r="P28" s="320">
        <f t="shared" si="18"/>
        <v>3</v>
      </c>
      <c r="Q28" s="320">
        <f t="shared" si="18"/>
        <v>4</v>
      </c>
      <c r="R28" s="406" t="b">
        <f>EXACT(Q28,S9)</f>
        <v>1</v>
      </c>
      <c r="U28" s="317"/>
    </row>
  </sheetData>
  <mergeCells count="19">
    <mergeCell ref="B7:C7"/>
    <mergeCell ref="B8:C8"/>
    <mergeCell ref="A3:C4"/>
    <mergeCell ref="A19:A21"/>
    <mergeCell ref="B19:C19"/>
    <mergeCell ref="B20:C20"/>
    <mergeCell ref="B21:C21"/>
    <mergeCell ref="B9:C9"/>
    <mergeCell ref="B10:C10"/>
    <mergeCell ref="B11:C11"/>
    <mergeCell ref="B13:C13"/>
    <mergeCell ref="B14:C14"/>
    <mergeCell ref="B15:C15"/>
    <mergeCell ref="B16:C16"/>
    <mergeCell ref="D3:D4"/>
    <mergeCell ref="S3:S4"/>
    <mergeCell ref="T3:T4"/>
    <mergeCell ref="B5:C5"/>
    <mergeCell ref="B6:C6"/>
  </mergeCells>
  <phoneticPr fontId="38" type="noConversion"/>
  <conditionalFormatting sqref="D11:T11">
    <cfRule type="containsText" dxfId="1" priority="1" operator="containsText" text="FALSE">
      <formula>NOT(ISERROR(SEARCH("FALSE",D11)))</formula>
    </cfRule>
  </conditionalFormatting>
  <pageMargins left="0.59055118110236227" right="0.59055118110236227" top="0.78740157480314965" bottom="0.78740157480314965" header="0.51181102362204722" footer="0.51181102362204722"/>
  <pageSetup paperSize="9" scale="34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X17"/>
  <sheetViews>
    <sheetView workbookViewId="0"/>
  </sheetViews>
  <sheetFormatPr defaultColWidth="9" defaultRowHeight="13.5" x14ac:dyDescent="0.15"/>
  <cols>
    <col min="1" max="1" width="6.625" style="20" customWidth="1"/>
    <col min="2" max="3" width="8" style="20" customWidth="1"/>
    <col min="4" max="4" width="12.625" style="20" customWidth="1"/>
    <col min="5" max="19" width="11.375" style="20" customWidth="1"/>
    <col min="20" max="20" width="13.5" style="20" customWidth="1"/>
    <col min="21" max="16384" width="9" style="20"/>
  </cols>
  <sheetData>
    <row r="1" spans="1:24" s="286" customFormat="1" ht="34.5" thickBot="1" x14ac:dyDescent="0.2">
      <c r="A1" s="283" t="s">
        <v>446</v>
      </c>
      <c r="B1" s="284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328" t="s">
        <v>218</v>
      </c>
    </row>
    <row r="2" spans="1:24" s="286" customFormat="1" ht="18" customHeight="1" x14ac:dyDescent="0.15">
      <c r="D2" s="287"/>
      <c r="T2" s="288"/>
    </row>
    <row r="3" spans="1:24" s="289" customFormat="1" ht="20.100000000000001" customHeight="1" x14ac:dyDescent="0.15">
      <c r="A3" s="859" t="s">
        <v>13</v>
      </c>
      <c r="B3" s="859"/>
      <c r="C3" s="859"/>
      <c r="D3" s="859" t="s">
        <v>16</v>
      </c>
      <c r="E3" s="296" t="s">
        <v>14</v>
      </c>
      <c r="F3" s="296"/>
      <c r="G3" s="296"/>
      <c r="H3" s="296"/>
      <c r="I3" s="296"/>
      <c r="J3" s="296"/>
      <c r="K3" s="296"/>
      <c r="L3" s="296" t="s">
        <v>15</v>
      </c>
      <c r="M3" s="296"/>
      <c r="N3" s="296"/>
      <c r="O3" s="296"/>
      <c r="P3" s="296"/>
      <c r="Q3" s="296"/>
      <c r="R3" s="296"/>
      <c r="S3" s="859" t="s">
        <v>12</v>
      </c>
      <c r="T3" s="859" t="s">
        <v>17</v>
      </c>
      <c r="X3" s="290"/>
    </row>
    <row r="4" spans="1:24" s="319" customFormat="1" ht="20.100000000000001" customHeight="1" x14ac:dyDescent="0.15">
      <c r="A4" s="859"/>
      <c r="B4" s="859"/>
      <c r="C4" s="859"/>
      <c r="D4" s="859"/>
      <c r="E4" s="341">
        <v>1</v>
      </c>
      <c r="F4" s="341">
        <v>2</v>
      </c>
      <c r="G4" s="341">
        <v>3</v>
      </c>
      <c r="H4" s="341">
        <v>4</v>
      </c>
      <c r="I4" s="341">
        <v>5</v>
      </c>
      <c r="J4" s="341">
        <v>6</v>
      </c>
      <c r="K4" s="342" t="s">
        <v>11</v>
      </c>
      <c r="L4" s="341">
        <v>7</v>
      </c>
      <c r="M4" s="341">
        <v>8</v>
      </c>
      <c r="N4" s="341">
        <v>9</v>
      </c>
      <c r="O4" s="341">
        <v>10</v>
      </c>
      <c r="P4" s="341">
        <v>11</v>
      </c>
      <c r="Q4" s="341">
        <v>12</v>
      </c>
      <c r="R4" s="342" t="s">
        <v>11</v>
      </c>
      <c r="S4" s="859"/>
      <c r="T4" s="859"/>
      <c r="U4" s="318"/>
    </row>
    <row r="5" spans="1:24" s="289" customFormat="1" ht="20.100000000000001" customHeight="1" x14ac:dyDescent="0.15">
      <c r="A5" s="322"/>
      <c r="B5" s="860" t="s">
        <v>26</v>
      </c>
      <c r="C5" s="860"/>
      <c r="D5" s="320">
        <f t="shared" ref="D5:J5" si="0">D17</f>
        <v>1346511</v>
      </c>
      <c r="E5" s="320">
        <f t="shared" si="0"/>
        <v>277</v>
      </c>
      <c r="F5" s="320">
        <f t="shared" si="0"/>
        <v>600</v>
      </c>
      <c r="G5" s="320">
        <f t="shared" si="0"/>
        <v>1123</v>
      </c>
      <c r="H5" s="320">
        <f t="shared" si="0"/>
        <v>1176</v>
      </c>
      <c r="I5" s="320">
        <f t="shared" si="0"/>
        <v>2310</v>
      </c>
      <c r="J5" s="320">
        <f t="shared" si="0"/>
        <v>2245</v>
      </c>
      <c r="K5" s="330">
        <f t="shared" ref="K5:K10" si="1">SUM(E5:J5)</f>
        <v>7731</v>
      </c>
      <c r="L5" s="320">
        <f t="shared" ref="L5:Q5" si="2">L17</f>
        <v>4018</v>
      </c>
      <c r="M5" s="320">
        <f t="shared" si="2"/>
        <v>288</v>
      </c>
      <c r="N5" s="320">
        <f t="shared" si="2"/>
        <v>3217</v>
      </c>
      <c r="O5" s="320">
        <f t="shared" si="2"/>
        <v>2930</v>
      </c>
      <c r="P5" s="320">
        <f t="shared" si="2"/>
        <v>646</v>
      </c>
      <c r="Q5" s="320">
        <f t="shared" si="2"/>
        <v>358</v>
      </c>
      <c r="R5" s="330">
        <f t="shared" ref="R5:R10" si="3">SUM(L5:Q5)</f>
        <v>11457</v>
      </c>
      <c r="S5" s="320">
        <f t="shared" ref="S5:S10" si="4">K5+R5</f>
        <v>19188</v>
      </c>
      <c r="T5" s="320">
        <f t="shared" ref="T5:T10" si="5">D5+S5</f>
        <v>1365699</v>
      </c>
      <c r="U5" s="317"/>
    </row>
    <row r="6" spans="1:24" s="289" customFormat="1" ht="20.100000000000001" customHeight="1" x14ac:dyDescent="0.15">
      <c r="A6" s="323" t="s">
        <v>150</v>
      </c>
      <c r="B6" s="860" t="s">
        <v>228</v>
      </c>
      <c r="C6" s="860"/>
      <c r="D6" s="327">
        <v>30717</v>
      </c>
      <c r="E6" s="327">
        <v>60</v>
      </c>
      <c r="F6" s="327">
        <v>121</v>
      </c>
      <c r="G6" s="327">
        <v>-16</v>
      </c>
      <c r="H6" s="327">
        <v>53</v>
      </c>
      <c r="I6" s="327">
        <v>40</v>
      </c>
      <c r="J6" s="327">
        <v>53</v>
      </c>
      <c r="K6" s="330">
        <f t="shared" si="1"/>
        <v>311</v>
      </c>
      <c r="L6" s="327">
        <v>55</v>
      </c>
      <c r="M6" s="327">
        <v>48</v>
      </c>
      <c r="N6" s="327">
        <v>60</v>
      </c>
      <c r="O6" s="327">
        <v>58</v>
      </c>
      <c r="P6" s="327">
        <v>69</v>
      </c>
      <c r="Q6" s="327">
        <v>59</v>
      </c>
      <c r="R6" s="330">
        <f t="shared" si="3"/>
        <v>349</v>
      </c>
      <c r="S6" s="320">
        <f t="shared" si="4"/>
        <v>660</v>
      </c>
      <c r="T6" s="320">
        <f t="shared" si="5"/>
        <v>31377</v>
      </c>
      <c r="U6" s="317"/>
    </row>
    <row r="7" spans="1:24" s="289" customFormat="1" ht="20.100000000000001" customHeight="1" x14ac:dyDescent="0.15">
      <c r="A7" s="323"/>
      <c r="B7" s="860" t="s">
        <v>27</v>
      </c>
      <c r="C7" s="860"/>
      <c r="D7" s="327">
        <v>12034</v>
      </c>
      <c r="E7" s="327">
        <v>16</v>
      </c>
      <c r="F7" s="327">
        <v>27</v>
      </c>
      <c r="G7" s="327">
        <v>30</v>
      </c>
      <c r="H7" s="327">
        <v>22</v>
      </c>
      <c r="I7" s="327">
        <v>29</v>
      </c>
      <c r="J7" s="327">
        <v>32</v>
      </c>
      <c r="K7" s="330">
        <f t="shared" si="1"/>
        <v>156</v>
      </c>
      <c r="L7" s="327">
        <v>25</v>
      </c>
      <c r="M7" s="327">
        <v>18</v>
      </c>
      <c r="N7" s="327">
        <v>22</v>
      </c>
      <c r="O7" s="327">
        <v>25</v>
      </c>
      <c r="P7" s="327">
        <v>25</v>
      </c>
      <c r="Q7" s="327">
        <v>22</v>
      </c>
      <c r="R7" s="330">
        <f t="shared" si="3"/>
        <v>137</v>
      </c>
      <c r="S7" s="320">
        <f t="shared" si="4"/>
        <v>293</v>
      </c>
      <c r="T7" s="320">
        <f t="shared" si="5"/>
        <v>12327</v>
      </c>
      <c r="U7" s="317"/>
    </row>
    <row r="8" spans="1:24" s="289" customFormat="1" ht="20.100000000000001" customHeight="1" x14ac:dyDescent="0.15">
      <c r="A8" s="323" t="s">
        <v>28</v>
      </c>
      <c r="B8" s="860" t="s">
        <v>29</v>
      </c>
      <c r="C8" s="860"/>
      <c r="D8" s="327">
        <v>1568</v>
      </c>
      <c r="E8" s="327">
        <v>1</v>
      </c>
      <c r="F8" s="327">
        <v>1</v>
      </c>
      <c r="G8" s="327">
        <v>-1</v>
      </c>
      <c r="H8" s="327">
        <v>2</v>
      </c>
      <c r="I8" s="327">
        <v>3</v>
      </c>
      <c r="J8" s="327">
        <v>2</v>
      </c>
      <c r="K8" s="330">
        <f t="shared" si="1"/>
        <v>8</v>
      </c>
      <c r="L8" s="327">
        <v>12</v>
      </c>
      <c r="M8" s="327">
        <v>1</v>
      </c>
      <c r="N8" s="327">
        <v>0</v>
      </c>
      <c r="O8" s="327">
        <v>0</v>
      </c>
      <c r="P8" s="327">
        <v>1</v>
      </c>
      <c r="Q8" s="327">
        <v>0</v>
      </c>
      <c r="R8" s="330">
        <f t="shared" si="3"/>
        <v>14</v>
      </c>
      <c r="S8" s="320">
        <f t="shared" si="4"/>
        <v>22</v>
      </c>
      <c r="T8" s="320">
        <f t="shared" si="5"/>
        <v>1590</v>
      </c>
      <c r="U8" s="317"/>
    </row>
    <row r="9" spans="1:24" s="289" customFormat="1" ht="20.100000000000001" customHeight="1" x14ac:dyDescent="0.15">
      <c r="A9" s="323"/>
      <c r="B9" s="860" t="s">
        <v>151</v>
      </c>
      <c r="C9" s="860"/>
      <c r="D9" s="327">
        <v>47</v>
      </c>
      <c r="E9" s="327">
        <v>0</v>
      </c>
      <c r="F9" s="498">
        <v>0</v>
      </c>
      <c r="G9" s="327">
        <v>0</v>
      </c>
      <c r="H9" s="327">
        <v>0</v>
      </c>
      <c r="I9" s="498">
        <v>0</v>
      </c>
      <c r="J9" s="498">
        <v>0</v>
      </c>
      <c r="K9" s="330">
        <f t="shared" si="1"/>
        <v>0</v>
      </c>
      <c r="L9" s="327">
        <v>1</v>
      </c>
      <c r="M9" s="498">
        <v>0</v>
      </c>
      <c r="N9" s="327">
        <v>0</v>
      </c>
      <c r="O9" s="327">
        <v>0</v>
      </c>
      <c r="P9" s="498">
        <v>0</v>
      </c>
      <c r="Q9" s="327">
        <v>0</v>
      </c>
      <c r="R9" s="330">
        <f t="shared" si="3"/>
        <v>1</v>
      </c>
      <c r="S9" s="320">
        <f t="shared" si="4"/>
        <v>1</v>
      </c>
      <c r="T9" s="320">
        <f t="shared" si="5"/>
        <v>48</v>
      </c>
      <c r="U9" s="317"/>
    </row>
    <row r="10" spans="1:24" s="289" customFormat="1" ht="20.100000000000001" customHeight="1" x14ac:dyDescent="0.15">
      <c r="A10" s="324"/>
      <c r="B10" s="859" t="s">
        <v>11</v>
      </c>
      <c r="C10" s="859"/>
      <c r="D10" s="332">
        <f>SUM(D5:D9)</f>
        <v>1390877</v>
      </c>
      <c r="E10" s="332">
        <f t="shared" ref="E10:J10" si="6">SUM(E5:E9)</f>
        <v>354</v>
      </c>
      <c r="F10" s="332">
        <f t="shared" si="6"/>
        <v>749</v>
      </c>
      <c r="G10" s="332">
        <f t="shared" si="6"/>
        <v>1136</v>
      </c>
      <c r="H10" s="332">
        <f t="shared" si="6"/>
        <v>1253</v>
      </c>
      <c r="I10" s="332">
        <f t="shared" si="6"/>
        <v>2382</v>
      </c>
      <c r="J10" s="332">
        <f t="shared" si="6"/>
        <v>2332</v>
      </c>
      <c r="K10" s="330">
        <f t="shared" si="1"/>
        <v>8206</v>
      </c>
      <c r="L10" s="332">
        <f>SUM(L5:L9)</f>
        <v>4111</v>
      </c>
      <c r="M10" s="332">
        <f t="shared" ref="M10:Q10" si="7">SUM(M5:M9)</f>
        <v>355</v>
      </c>
      <c r="N10" s="332">
        <f t="shared" si="7"/>
        <v>3299</v>
      </c>
      <c r="O10" s="332">
        <f t="shared" si="7"/>
        <v>3013</v>
      </c>
      <c r="P10" s="332">
        <f t="shared" si="7"/>
        <v>741</v>
      </c>
      <c r="Q10" s="332">
        <f t="shared" si="7"/>
        <v>439</v>
      </c>
      <c r="R10" s="330">
        <f t="shared" si="3"/>
        <v>11958</v>
      </c>
      <c r="S10" s="332">
        <f t="shared" si="4"/>
        <v>20164</v>
      </c>
      <c r="T10" s="332">
        <f t="shared" si="5"/>
        <v>1411041</v>
      </c>
      <c r="U10" s="317"/>
    </row>
    <row r="11" spans="1:24" s="289" customFormat="1" ht="20.100000000000001" customHeight="1" x14ac:dyDescent="0.15">
      <c r="A11" s="324"/>
      <c r="B11" s="860"/>
      <c r="C11" s="860"/>
      <c r="D11" s="320" t="b">
        <f>EXACT(SUM(D5:D9),D10)</f>
        <v>1</v>
      </c>
      <c r="E11" s="310" t="b">
        <f t="shared" ref="E11:T11" si="8">EXACT(SUM(E5:E9),E10)</f>
        <v>1</v>
      </c>
      <c r="F11" s="310" t="b">
        <f t="shared" si="8"/>
        <v>1</v>
      </c>
      <c r="G11" s="310" t="b">
        <f t="shared" si="8"/>
        <v>1</v>
      </c>
      <c r="H11" s="310" t="b">
        <f t="shared" si="8"/>
        <v>1</v>
      </c>
      <c r="I11" s="310" t="b">
        <f t="shared" si="8"/>
        <v>1</v>
      </c>
      <c r="J11" s="310" t="b">
        <f t="shared" si="8"/>
        <v>1</v>
      </c>
      <c r="K11" s="330" t="b">
        <f t="shared" si="8"/>
        <v>1</v>
      </c>
      <c r="L11" s="310" t="b">
        <f t="shared" si="8"/>
        <v>1</v>
      </c>
      <c r="M11" s="310" t="b">
        <f t="shared" si="8"/>
        <v>1</v>
      </c>
      <c r="N11" s="310" t="b">
        <f t="shared" si="8"/>
        <v>1</v>
      </c>
      <c r="O11" s="310" t="b">
        <f t="shared" si="8"/>
        <v>1</v>
      </c>
      <c r="P11" s="310" t="b">
        <f t="shared" si="8"/>
        <v>1</v>
      </c>
      <c r="Q11" s="310" t="b">
        <f t="shared" si="8"/>
        <v>1</v>
      </c>
      <c r="R11" s="330" t="b">
        <f t="shared" si="8"/>
        <v>1</v>
      </c>
      <c r="S11" s="320" t="b">
        <f t="shared" si="8"/>
        <v>1</v>
      </c>
      <c r="T11" s="320" t="b">
        <f t="shared" si="8"/>
        <v>1</v>
      </c>
      <c r="U11" s="317"/>
    </row>
    <row r="12" spans="1:24" s="289" customFormat="1" ht="20.100000000000001" customHeight="1" x14ac:dyDescent="0.15">
      <c r="A12" s="321" t="s">
        <v>30</v>
      </c>
      <c r="B12" s="321"/>
      <c r="C12" s="321"/>
      <c r="D12" s="320"/>
      <c r="E12" s="310">
        <f>E10</f>
        <v>354</v>
      </c>
      <c r="F12" s="310">
        <f>E12+F10</f>
        <v>1103</v>
      </c>
      <c r="G12" s="310">
        <f>F12+G10</f>
        <v>2239</v>
      </c>
      <c r="H12" s="310">
        <f>G12+H10</f>
        <v>3492</v>
      </c>
      <c r="I12" s="310">
        <f>H12+I10</f>
        <v>5874</v>
      </c>
      <c r="J12" s="310">
        <f>I12+J10</f>
        <v>8206</v>
      </c>
      <c r="K12" s="330">
        <f>J12</f>
        <v>8206</v>
      </c>
      <c r="L12" s="310">
        <f t="shared" ref="L12:Q12" si="9">K12+L10</f>
        <v>12317</v>
      </c>
      <c r="M12" s="310">
        <f t="shared" si="9"/>
        <v>12672</v>
      </c>
      <c r="N12" s="310">
        <f t="shared" si="9"/>
        <v>15971</v>
      </c>
      <c r="O12" s="310">
        <f t="shared" si="9"/>
        <v>18984</v>
      </c>
      <c r="P12" s="310">
        <f t="shared" si="9"/>
        <v>19725</v>
      </c>
      <c r="Q12" s="310">
        <f t="shared" si="9"/>
        <v>20164</v>
      </c>
      <c r="R12" s="330">
        <f>Q12</f>
        <v>20164</v>
      </c>
      <c r="S12" s="320">
        <f>D10+R12</f>
        <v>1411041</v>
      </c>
      <c r="T12" s="320" t="b">
        <f>EXACT(T10,S12)</f>
        <v>1</v>
      </c>
      <c r="U12" s="317"/>
    </row>
    <row r="13" spans="1:24" s="114" customFormat="1" ht="24" customHeight="1" x14ac:dyDescent="0.15">
      <c r="C13" s="169"/>
      <c r="U13" s="317"/>
    </row>
    <row r="14" spans="1:24" s="114" customFormat="1" ht="24" customHeight="1" x14ac:dyDescent="0.15">
      <c r="C14" s="169"/>
      <c r="U14" s="317"/>
    </row>
    <row r="15" spans="1:24" s="114" customFormat="1" ht="24" customHeight="1" x14ac:dyDescent="0.15">
      <c r="A15" s="863" t="s">
        <v>219</v>
      </c>
      <c r="B15" s="861" t="s">
        <v>220</v>
      </c>
      <c r="C15" s="861"/>
      <c r="D15" s="327">
        <v>834370</v>
      </c>
      <c r="E15" s="327">
        <v>52</v>
      </c>
      <c r="F15" s="327">
        <v>468</v>
      </c>
      <c r="G15" s="327">
        <v>1005</v>
      </c>
      <c r="H15" s="327">
        <v>1051</v>
      </c>
      <c r="I15" s="327">
        <v>2103</v>
      </c>
      <c r="J15" s="327">
        <v>2080</v>
      </c>
      <c r="K15" s="330"/>
      <c r="L15" s="327">
        <v>3853</v>
      </c>
      <c r="M15" s="327">
        <v>152</v>
      </c>
      <c r="N15" s="327">
        <v>3050</v>
      </c>
      <c r="O15" s="327">
        <v>2614</v>
      </c>
      <c r="P15" s="327">
        <v>463</v>
      </c>
      <c r="Q15" s="327">
        <v>278</v>
      </c>
      <c r="R15" s="330">
        <f>SUM(L15:Q15)</f>
        <v>10410</v>
      </c>
      <c r="S15" s="329">
        <f>K15+R15</f>
        <v>10410</v>
      </c>
      <c r="T15" s="320">
        <f>D15+S15</f>
        <v>844780</v>
      </c>
      <c r="U15" s="317"/>
    </row>
    <row r="16" spans="1:24" s="114" customFormat="1" ht="24" customHeight="1" x14ac:dyDescent="0.15">
      <c r="A16" s="861"/>
      <c r="B16" s="861" t="s">
        <v>221</v>
      </c>
      <c r="C16" s="861"/>
      <c r="D16" s="327">
        <v>512141</v>
      </c>
      <c r="E16" s="327">
        <v>225</v>
      </c>
      <c r="F16" s="327">
        <v>132</v>
      </c>
      <c r="G16" s="327">
        <v>118</v>
      </c>
      <c r="H16" s="327">
        <v>125</v>
      </c>
      <c r="I16" s="327">
        <v>207</v>
      </c>
      <c r="J16" s="327">
        <v>165</v>
      </c>
      <c r="K16" s="330"/>
      <c r="L16" s="327">
        <v>165</v>
      </c>
      <c r="M16" s="327">
        <v>136</v>
      </c>
      <c r="N16" s="327">
        <v>167</v>
      </c>
      <c r="O16" s="327">
        <v>316</v>
      </c>
      <c r="P16" s="327">
        <v>183</v>
      </c>
      <c r="Q16" s="327">
        <v>80</v>
      </c>
      <c r="R16" s="330">
        <f>SUM(L16:Q16)</f>
        <v>1047</v>
      </c>
      <c r="S16" s="329">
        <f>K16+R16</f>
        <v>1047</v>
      </c>
      <c r="T16" s="320">
        <f>D16+S16</f>
        <v>513188</v>
      </c>
      <c r="U16" s="317"/>
    </row>
    <row r="17" spans="1:21" s="114" customFormat="1" ht="24" customHeight="1" x14ac:dyDescent="0.15">
      <c r="A17" s="861"/>
      <c r="B17" s="861" t="s">
        <v>222</v>
      </c>
      <c r="C17" s="861"/>
      <c r="D17" s="329">
        <f t="shared" ref="D17:R17" si="10">SUM(D15:D16)</f>
        <v>1346511</v>
      </c>
      <c r="E17" s="329">
        <f t="shared" si="10"/>
        <v>277</v>
      </c>
      <c r="F17" s="329">
        <f t="shared" si="10"/>
        <v>600</v>
      </c>
      <c r="G17" s="329">
        <f t="shared" si="10"/>
        <v>1123</v>
      </c>
      <c r="H17" s="329">
        <f t="shared" si="10"/>
        <v>1176</v>
      </c>
      <c r="I17" s="329">
        <f t="shared" si="10"/>
        <v>2310</v>
      </c>
      <c r="J17" s="329">
        <f t="shared" si="10"/>
        <v>2245</v>
      </c>
      <c r="K17" s="331">
        <f t="shared" si="10"/>
        <v>0</v>
      </c>
      <c r="L17" s="329">
        <f t="shared" si="10"/>
        <v>4018</v>
      </c>
      <c r="M17" s="329">
        <f t="shared" si="10"/>
        <v>288</v>
      </c>
      <c r="N17" s="329">
        <f t="shared" si="10"/>
        <v>3217</v>
      </c>
      <c r="O17" s="329">
        <f t="shared" si="10"/>
        <v>2930</v>
      </c>
      <c r="P17" s="329">
        <f t="shared" si="10"/>
        <v>646</v>
      </c>
      <c r="Q17" s="329">
        <f t="shared" si="10"/>
        <v>358</v>
      </c>
      <c r="R17" s="331">
        <f t="shared" si="10"/>
        <v>11457</v>
      </c>
      <c r="S17" s="329">
        <f>K17+R17</f>
        <v>11457</v>
      </c>
      <c r="T17" s="329">
        <f>D17+S17</f>
        <v>1357968</v>
      </c>
      <c r="U17" s="317"/>
    </row>
  </sheetData>
  <mergeCells count="15">
    <mergeCell ref="B11:C11"/>
    <mergeCell ref="A15:A17"/>
    <mergeCell ref="B15:C15"/>
    <mergeCell ref="B16:C16"/>
    <mergeCell ref="B17:C17"/>
    <mergeCell ref="T3:T4"/>
    <mergeCell ref="B9:C9"/>
    <mergeCell ref="B10:C10"/>
    <mergeCell ref="A3:C4"/>
    <mergeCell ref="D3:D4"/>
    <mergeCell ref="S3:S4"/>
    <mergeCell ref="B5:C5"/>
    <mergeCell ref="B6:C6"/>
    <mergeCell ref="B7:C7"/>
    <mergeCell ref="B8:C8"/>
  </mergeCells>
  <phoneticPr fontId="27" type="noConversion"/>
  <conditionalFormatting sqref="D11:T11">
    <cfRule type="containsText" dxfId="0" priority="1" operator="containsText" text="FALSE">
      <formula>NOT(ISERROR(SEARCH("FALSE",D11)))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scale="5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9">
    <tabColor rgb="FFFFFF00"/>
    <pageSetUpPr fitToPage="1"/>
  </sheetPr>
  <dimension ref="A1:Y27"/>
  <sheetViews>
    <sheetView workbookViewId="0"/>
  </sheetViews>
  <sheetFormatPr defaultColWidth="9" defaultRowHeight="13.5" x14ac:dyDescent="0.15"/>
  <cols>
    <col min="1" max="2" width="6.625" style="20" customWidth="1"/>
    <col min="3" max="3" width="8.375" style="20" customWidth="1"/>
    <col min="4" max="9" width="15.25" style="20" bestFit="1" customWidth="1"/>
    <col min="10" max="10" width="15.125" style="20" bestFit="1" customWidth="1"/>
    <col min="11" max="11" width="15.25" style="20" bestFit="1" customWidth="1"/>
    <col min="12" max="13" width="18.125" style="20" bestFit="1" customWidth="1"/>
    <col min="14" max="16" width="15.25" style="20" bestFit="1" customWidth="1"/>
    <col min="17" max="18" width="15.125" style="20" bestFit="1" customWidth="1"/>
    <col min="19" max="19" width="6.125" style="20" customWidth="1"/>
    <col min="20" max="46" width="10.125" style="20" customWidth="1"/>
    <col min="47" max="16384" width="9" style="20"/>
  </cols>
  <sheetData>
    <row r="1" spans="1:22" ht="39" customHeight="1" x14ac:dyDescent="0.15">
      <c r="A1" s="124" t="s">
        <v>447</v>
      </c>
      <c r="B1" s="126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22" ht="19.5" customHeight="1" x14ac:dyDescent="0.15"/>
    <row r="3" spans="1:22" s="114" customFormat="1" ht="20.25" customHeight="1" x14ac:dyDescent="0.15">
      <c r="A3" s="864" t="s">
        <v>18</v>
      </c>
      <c r="B3" s="864"/>
      <c r="C3" s="864"/>
      <c r="D3" s="304" t="s">
        <v>9</v>
      </c>
      <c r="E3" s="304"/>
      <c r="F3" s="304"/>
      <c r="G3" s="304"/>
      <c r="H3" s="304"/>
      <c r="I3" s="304"/>
      <c r="J3" s="304"/>
      <c r="K3" s="304" t="s">
        <v>10</v>
      </c>
      <c r="L3" s="304"/>
      <c r="M3" s="304"/>
      <c r="N3" s="304"/>
      <c r="O3" s="304"/>
      <c r="P3" s="304"/>
      <c r="Q3" s="304"/>
      <c r="R3" s="305"/>
    </row>
    <row r="4" spans="1:22" s="114" customFormat="1" ht="20.25" customHeight="1" x14ac:dyDescent="0.15">
      <c r="A4" s="864"/>
      <c r="B4" s="864"/>
      <c r="C4" s="864"/>
      <c r="D4" s="307">
        <v>1</v>
      </c>
      <c r="E4" s="307">
        <v>2</v>
      </c>
      <c r="F4" s="307">
        <v>3</v>
      </c>
      <c r="G4" s="307">
        <v>4</v>
      </c>
      <c r="H4" s="307">
        <v>5</v>
      </c>
      <c r="I4" s="307">
        <v>6</v>
      </c>
      <c r="J4" s="307" t="s">
        <v>229</v>
      </c>
      <c r="K4" s="307">
        <v>7</v>
      </c>
      <c r="L4" s="307">
        <v>8</v>
      </c>
      <c r="M4" s="307">
        <v>9</v>
      </c>
      <c r="N4" s="307">
        <v>10</v>
      </c>
      <c r="O4" s="307">
        <v>11</v>
      </c>
      <c r="P4" s="307">
        <v>12</v>
      </c>
      <c r="Q4" s="307" t="s">
        <v>11</v>
      </c>
      <c r="R4" s="307" t="s">
        <v>12</v>
      </c>
      <c r="S4" s="169">
        <v>1</v>
      </c>
    </row>
    <row r="5" spans="1:22" s="114" customFormat="1" ht="20.25" customHeight="1" x14ac:dyDescent="0.15">
      <c r="A5" s="312" t="s">
        <v>19</v>
      </c>
      <c r="B5" s="312"/>
      <c r="C5" s="312"/>
      <c r="D5" s="308">
        <v>31</v>
      </c>
      <c r="E5" s="308">
        <v>28</v>
      </c>
      <c r="F5" s="308">
        <v>31</v>
      </c>
      <c r="G5" s="308">
        <v>30</v>
      </c>
      <c r="H5" s="308">
        <v>31</v>
      </c>
      <c r="I5" s="308">
        <v>30</v>
      </c>
      <c r="J5" s="307">
        <f>SUM(D5:I5)</f>
        <v>181</v>
      </c>
      <c r="K5" s="308">
        <v>31</v>
      </c>
      <c r="L5" s="308">
        <v>31</v>
      </c>
      <c r="M5" s="308">
        <v>30</v>
      </c>
      <c r="N5" s="308">
        <v>31</v>
      </c>
      <c r="O5" s="308">
        <v>30</v>
      </c>
      <c r="P5" s="308">
        <v>31</v>
      </c>
      <c r="Q5" s="307">
        <f>SUM(K5:P5)</f>
        <v>184</v>
      </c>
      <c r="R5" s="307">
        <f>Q5+J5</f>
        <v>365</v>
      </c>
      <c r="S5" s="169">
        <v>2</v>
      </c>
      <c r="T5" s="114" t="s">
        <v>182</v>
      </c>
    </row>
    <row r="6" spans="1:22" s="114" customFormat="1" ht="20.25" customHeight="1" x14ac:dyDescent="0.15">
      <c r="A6" s="312" t="s">
        <v>180</v>
      </c>
      <c r="B6" s="312"/>
      <c r="C6" s="312"/>
      <c r="D6" s="718">
        <v>7484365564</v>
      </c>
      <c r="E6" s="718">
        <v>5712325969</v>
      </c>
      <c r="F6" s="718">
        <v>4710006409</v>
      </c>
      <c r="G6" s="718">
        <v>3035367510</v>
      </c>
      <c r="H6" s="718">
        <v>2303352863</v>
      </c>
      <c r="I6" s="718">
        <v>1997629875</v>
      </c>
      <c r="J6" s="309">
        <f>SUM(D6:I6)</f>
        <v>25243048190</v>
      </c>
      <c r="K6" s="718">
        <v>1875537362</v>
      </c>
      <c r="L6" s="718">
        <v>1805179063</v>
      </c>
      <c r="M6" s="718">
        <v>1777114323</v>
      </c>
      <c r="N6" s="718">
        <v>2534399160</v>
      </c>
      <c r="O6" s="718">
        <v>4045657715</v>
      </c>
      <c r="P6" s="718">
        <v>6767459976</v>
      </c>
      <c r="Q6" s="309">
        <f>SUM(K6:P6)</f>
        <v>18805347599</v>
      </c>
      <c r="R6" s="309">
        <f>Q6+J6</f>
        <v>44048395789</v>
      </c>
      <c r="S6" s="169">
        <v>3</v>
      </c>
      <c r="T6" s="113" t="s">
        <v>347</v>
      </c>
      <c r="U6" s="113"/>
      <c r="V6" s="113"/>
    </row>
    <row r="7" spans="1:22" s="166" customFormat="1" ht="20.25" customHeight="1" x14ac:dyDescent="0.15">
      <c r="A7" s="313" t="s">
        <v>181</v>
      </c>
      <c r="B7" s="313"/>
      <c r="C7" s="313"/>
      <c r="D7" s="310">
        <f>D6</f>
        <v>7484365564</v>
      </c>
      <c r="E7" s="310">
        <f>D7+E6</f>
        <v>13196691533</v>
      </c>
      <c r="F7" s="310">
        <f>E7+F6</f>
        <v>17906697942</v>
      </c>
      <c r="G7" s="310">
        <f>F7+G6</f>
        <v>20942065452</v>
      </c>
      <c r="H7" s="310">
        <f>G7+H6</f>
        <v>23245418315</v>
      </c>
      <c r="I7" s="310">
        <f>H7+I6</f>
        <v>25243048190</v>
      </c>
      <c r="J7" s="310"/>
      <c r="K7" s="310">
        <f>I7+K6</f>
        <v>27118585552</v>
      </c>
      <c r="L7" s="310">
        <f>K7+L6</f>
        <v>28923764615</v>
      </c>
      <c r="M7" s="310">
        <f>L7+M6</f>
        <v>30700878938</v>
      </c>
      <c r="N7" s="310">
        <f>M7+N6</f>
        <v>33235278098</v>
      </c>
      <c r="O7" s="310">
        <f>N7+O6</f>
        <v>37280935813</v>
      </c>
      <c r="P7" s="310">
        <f>O7+P6</f>
        <v>44048395789</v>
      </c>
      <c r="Q7" s="310"/>
      <c r="R7" s="310"/>
      <c r="S7" s="169">
        <v>4</v>
      </c>
    </row>
    <row r="8" spans="1:22" s="166" customFormat="1" ht="20.25" customHeight="1" x14ac:dyDescent="0.15">
      <c r="A8" s="301"/>
      <c r="B8" s="302"/>
      <c r="C8" s="302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169">
        <v>5</v>
      </c>
    </row>
    <row r="9" spans="1:22" s="114" customFormat="1" ht="20.25" customHeight="1" x14ac:dyDescent="0.15">
      <c r="A9" s="312" t="s">
        <v>183</v>
      </c>
      <c r="B9" s="312"/>
      <c r="C9" s="312"/>
      <c r="D9" s="718">
        <v>7224348461</v>
      </c>
      <c r="E9" s="718">
        <v>6791214488</v>
      </c>
      <c r="F9" s="718">
        <v>4749766834</v>
      </c>
      <c r="G9" s="718">
        <v>3033061532</v>
      </c>
      <c r="H9" s="718">
        <v>2367844372</v>
      </c>
      <c r="I9" s="718">
        <v>1941591221</v>
      </c>
      <c r="J9" s="309">
        <f>SUM(D9:I9)</f>
        <v>26107826908</v>
      </c>
      <c r="K9" s="718">
        <v>1906098774</v>
      </c>
      <c r="L9" s="718">
        <v>1785123907</v>
      </c>
      <c r="M9" s="718">
        <v>1911886096</v>
      </c>
      <c r="N9" s="718">
        <v>2223109609</v>
      </c>
      <c r="O9" s="718">
        <v>3889180533</v>
      </c>
      <c r="P9" s="718">
        <v>6628724954</v>
      </c>
      <c r="Q9" s="309">
        <f>SUM(K9:P9)</f>
        <v>18344123873</v>
      </c>
      <c r="R9" s="309">
        <f>Q9+J9</f>
        <v>44451950781</v>
      </c>
      <c r="S9" s="169">
        <v>6</v>
      </c>
      <c r="T9" s="113" t="s">
        <v>185</v>
      </c>
      <c r="U9" s="113"/>
      <c r="V9" s="113"/>
    </row>
    <row r="10" spans="1:22" s="114" customFormat="1" ht="20.25" customHeight="1" x14ac:dyDescent="0.15">
      <c r="A10" s="312" t="s">
        <v>184</v>
      </c>
      <c r="B10" s="312"/>
      <c r="C10" s="312"/>
      <c r="D10" s="309">
        <f>D9</f>
        <v>7224348461</v>
      </c>
      <c r="E10" s="309">
        <f>D10+E9</f>
        <v>14015562949</v>
      </c>
      <c r="F10" s="309">
        <f t="shared" ref="F10:P10" si="0">E10+F9</f>
        <v>18765329783</v>
      </c>
      <c r="G10" s="309">
        <f t="shared" si="0"/>
        <v>21798391315</v>
      </c>
      <c r="H10" s="309">
        <f t="shared" si="0"/>
        <v>24166235687</v>
      </c>
      <c r="I10" s="309">
        <f t="shared" si="0"/>
        <v>26107826908</v>
      </c>
      <c r="J10" s="309">
        <f>I10</f>
        <v>26107826908</v>
      </c>
      <c r="K10" s="309">
        <f t="shared" si="0"/>
        <v>28013925682</v>
      </c>
      <c r="L10" s="309">
        <f t="shared" si="0"/>
        <v>29799049589</v>
      </c>
      <c r="M10" s="309">
        <f>L10+M9</f>
        <v>31710935685</v>
      </c>
      <c r="N10" s="309">
        <f t="shared" si="0"/>
        <v>33934045294</v>
      </c>
      <c r="O10" s="309">
        <f t="shared" si="0"/>
        <v>37823225827</v>
      </c>
      <c r="P10" s="309">
        <f t="shared" si="0"/>
        <v>44451950781</v>
      </c>
      <c r="Q10" s="309">
        <f>P10</f>
        <v>44451950781</v>
      </c>
      <c r="R10" s="309">
        <f>Q10</f>
        <v>44451950781</v>
      </c>
      <c r="S10" s="169">
        <v>7</v>
      </c>
      <c r="T10" s="113"/>
      <c r="U10" s="113"/>
      <c r="V10" s="113"/>
    </row>
    <row r="11" spans="1:22" ht="20.25" customHeight="1" x14ac:dyDescent="0.15">
      <c r="S11" s="169">
        <v>8</v>
      </c>
    </row>
    <row r="12" spans="1:22" s="114" customFormat="1" ht="20.25" customHeight="1" x14ac:dyDescent="0.15">
      <c r="A12" s="312" t="s">
        <v>32</v>
      </c>
      <c r="B12" s="312"/>
      <c r="C12" s="312"/>
      <c r="D12" s="309">
        <f>'공급전 계획(2026년)'!D12+'공급전 계획(2026년)'!E10/2</f>
        <v>1356948.5</v>
      </c>
      <c r="E12" s="309">
        <f>'공급전 계획(2026년)'!E12+'공급전 계획(2026년)'!F10/2</f>
        <v>1358303.5</v>
      </c>
      <c r="F12" s="309">
        <f>'공급전 계획(2026년)'!F12+'공급전 계획(2026년)'!G10/2</f>
        <v>1359840</v>
      </c>
      <c r="G12" s="309">
        <f>'공급전 계획(2026년)'!G12+'공급전 계획(2026년)'!H10/2</f>
        <v>1361346</v>
      </c>
      <c r="H12" s="309">
        <f>'공급전 계획(2026년)'!H12+'공급전 계획(2026년)'!I10/2</f>
        <v>1362984.5</v>
      </c>
      <c r="I12" s="309">
        <f>'공급전 계획(2026년)'!I12+'공급전 계획(2026년)'!J10/2</f>
        <v>1364667</v>
      </c>
      <c r="J12" s="309"/>
      <c r="K12" s="309">
        <f>'공급전 계획(2026년)'!K12+'공급전 계획(2026년)'!L10/2</f>
        <v>1366020</v>
      </c>
      <c r="L12" s="309">
        <f>'공급전 계획(2026년)'!L12+'공급전 계획(2026년)'!M10/2</f>
        <v>1367072</v>
      </c>
      <c r="M12" s="309">
        <f>'공급전 계획(2026년)'!M12+'공급전 계획(2026년)'!N10/2</f>
        <v>1367963.5</v>
      </c>
      <c r="N12" s="309">
        <f>'공급전 계획(2026년)'!N12+'공급전 계획(2026년)'!O10/2</f>
        <v>1368793.5</v>
      </c>
      <c r="O12" s="309">
        <f>'공급전 계획(2026년)'!O12+'공급전 계획(2026년)'!P10/2</f>
        <v>1369647.5</v>
      </c>
      <c r="P12" s="309">
        <f>'공급전 계획(2026년)'!P12+'공급전 계획(2026년)'!Q10/2</f>
        <v>1370529</v>
      </c>
      <c r="Q12" s="309"/>
      <c r="R12" s="309"/>
      <c r="S12" s="169">
        <v>9</v>
      </c>
      <c r="T12" s="113" t="s">
        <v>186</v>
      </c>
      <c r="U12" s="113"/>
      <c r="V12" s="113"/>
    </row>
    <row r="13" spans="1:22" s="114" customFormat="1" ht="20.25" customHeight="1" x14ac:dyDescent="0.15">
      <c r="A13" s="312" t="s">
        <v>31</v>
      </c>
      <c r="B13" s="312"/>
      <c r="C13" s="312"/>
      <c r="D13" s="311">
        <f t="shared" ref="D13:I13" si="1">D6/D12/D5</f>
        <v>177.92211511771185</v>
      </c>
      <c r="E13" s="311">
        <f t="shared" si="1"/>
        <v>150.19591847477386</v>
      </c>
      <c r="F13" s="311">
        <f t="shared" si="1"/>
        <v>111.73056434058655</v>
      </c>
      <c r="G13" s="311">
        <f t="shared" si="1"/>
        <v>74.322704881786123</v>
      </c>
      <c r="H13" s="311">
        <f t="shared" si="1"/>
        <v>54.513976687236372</v>
      </c>
      <c r="I13" s="311">
        <f t="shared" si="1"/>
        <v>48.794073938916966</v>
      </c>
      <c r="J13" s="309"/>
      <c r="K13" s="311">
        <f t="shared" ref="K13:P13" si="2">K6/K12/K5</f>
        <v>44.29013134932611</v>
      </c>
      <c r="L13" s="311">
        <f t="shared" si="2"/>
        <v>42.595841826487082</v>
      </c>
      <c r="M13" s="311">
        <f t="shared" si="2"/>
        <v>43.30316130510792</v>
      </c>
      <c r="N13" s="311">
        <f t="shared" si="2"/>
        <v>59.727644537253596</v>
      </c>
      <c r="O13" s="311">
        <f t="shared" si="2"/>
        <v>98.459827924094824</v>
      </c>
      <c r="P13" s="311">
        <f t="shared" si="2"/>
        <v>159.28532742913799</v>
      </c>
      <c r="Q13" s="309"/>
      <c r="R13" s="309"/>
      <c r="S13" s="169">
        <v>10</v>
      </c>
      <c r="T13" s="113" t="s">
        <v>187</v>
      </c>
      <c r="U13" s="113"/>
      <c r="V13" s="113"/>
    </row>
    <row r="14" spans="1:22" ht="20.25" customHeight="1" x14ac:dyDescent="0.15">
      <c r="D14" s="571"/>
      <c r="E14" s="571"/>
      <c r="F14" s="571"/>
      <c r="G14" s="571"/>
      <c r="H14" s="571"/>
      <c r="I14" s="571"/>
      <c r="J14" s="571"/>
      <c r="K14" s="571"/>
      <c r="L14" s="571"/>
      <c r="M14" s="571"/>
      <c r="N14" s="571"/>
      <c r="O14" s="571"/>
      <c r="P14" s="571"/>
    </row>
    <row r="15" spans="1:22" ht="20.25" customHeight="1" x14ac:dyDescent="0.15"/>
    <row r="16" spans="1:22" ht="20.25" customHeight="1" x14ac:dyDescent="0.15">
      <c r="A16" s="20" t="s">
        <v>352</v>
      </c>
    </row>
    <row r="17" spans="1:25" s="289" customFormat="1" ht="20.25" customHeight="1" x14ac:dyDescent="0.15">
      <c r="A17" s="859" t="s">
        <v>18</v>
      </c>
      <c r="B17" s="859"/>
      <c r="C17" s="859"/>
      <c r="D17" s="296" t="s">
        <v>9</v>
      </c>
      <c r="E17" s="296"/>
      <c r="F17" s="296"/>
      <c r="G17" s="296"/>
      <c r="H17" s="296"/>
      <c r="I17" s="296"/>
      <c r="J17" s="296"/>
      <c r="K17" s="296" t="s">
        <v>10</v>
      </c>
      <c r="L17" s="296"/>
      <c r="M17" s="296"/>
      <c r="N17" s="296"/>
      <c r="O17" s="296"/>
      <c r="P17" s="296"/>
      <c r="Q17" s="296"/>
      <c r="R17" s="859" t="s">
        <v>12</v>
      </c>
    </row>
    <row r="18" spans="1:25" s="289" customFormat="1" ht="20.25" customHeight="1" x14ac:dyDescent="0.15">
      <c r="A18" s="859"/>
      <c r="B18" s="859"/>
      <c r="C18" s="859"/>
      <c r="D18" s="341" t="s">
        <v>148</v>
      </c>
      <c r="E18" s="341" t="s">
        <v>161</v>
      </c>
      <c r="F18" s="341" t="s">
        <v>162</v>
      </c>
      <c r="G18" s="341" t="s">
        <v>149</v>
      </c>
      <c r="H18" s="341" t="s">
        <v>163</v>
      </c>
      <c r="I18" s="341" t="s">
        <v>137</v>
      </c>
      <c r="J18" s="341" t="s">
        <v>11</v>
      </c>
      <c r="K18" s="341" t="s">
        <v>138</v>
      </c>
      <c r="L18" s="341" t="s">
        <v>139</v>
      </c>
      <c r="M18" s="341" t="s">
        <v>140</v>
      </c>
      <c r="N18" s="341" t="s">
        <v>141</v>
      </c>
      <c r="O18" s="341" t="s">
        <v>142</v>
      </c>
      <c r="P18" s="341" t="s">
        <v>143</v>
      </c>
      <c r="Q18" s="341" t="s">
        <v>11</v>
      </c>
      <c r="R18" s="859"/>
    </row>
    <row r="19" spans="1:25" s="292" customFormat="1" ht="20.25" customHeight="1" x14ac:dyDescent="0.15">
      <c r="A19" s="865" t="s">
        <v>164</v>
      </c>
      <c r="B19" s="865"/>
      <c r="C19" s="297" t="s">
        <v>165</v>
      </c>
      <c r="D19" s="326"/>
      <c r="E19" s="326"/>
      <c r="F19" s="326"/>
      <c r="G19" s="326"/>
      <c r="H19" s="326"/>
      <c r="I19" s="326"/>
      <c r="J19" s="298">
        <f>SUM(D19:I19)</f>
        <v>0</v>
      </c>
      <c r="K19" s="326"/>
      <c r="L19" s="326"/>
      <c r="M19" s="326"/>
      <c r="N19" s="326"/>
      <c r="O19" s="326"/>
      <c r="P19" s="326"/>
      <c r="Q19" s="298">
        <f>SUM(K19:P19)</f>
        <v>0</v>
      </c>
      <c r="R19" s="298">
        <f>J19+Q19</f>
        <v>0</v>
      </c>
      <c r="Y19" s="293"/>
    </row>
    <row r="20" spans="1:25" s="292" customFormat="1" ht="20.25" customHeight="1" x14ac:dyDescent="0.15">
      <c r="A20" s="865"/>
      <c r="B20" s="865"/>
      <c r="C20" s="297" t="s">
        <v>166</v>
      </c>
      <c r="D20" s="467"/>
      <c r="E20" s="467"/>
      <c r="F20" s="467"/>
      <c r="G20" s="467"/>
      <c r="H20" s="467"/>
      <c r="I20" s="467"/>
      <c r="J20" s="299">
        <f>SUM(D20:I20)</f>
        <v>0</v>
      </c>
      <c r="K20" s="467"/>
      <c r="L20" s="467"/>
      <c r="M20" s="467"/>
      <c r="N20" s="467"/>
      <c r="O20" s="467"/>
      <c r="P20" s="467"/>
      <c r="Q20" s="299">
        <f>SUM(K20:P20)</f>
        <v>0</v>
      </c>
      <c r="R20" s="299">
        <f>J20+Q20</f>
        <v>0</v>
      </c>
      <c r="Y20" s="294"/>
    </row>
    <row r="21" spans="1:25" ht="20.25" customHeight="1" x14ac:dyDescent="0.15"/>
    <row r="22" spans="1:25" ht="20.25" customHeight="1" x14ac:dyDescent="0.15"/>
    <row r="23" spans="1:25" ht="20.25" customHeight="1" x14ac:dyDescent="0.15">
      <c r="A23" s="20" t="s">
        <v>306</v>
      </c>
    </row>
    <row r="24" spans="1:25" s="295" customFormat="1" ht="20.25" customHeight="1" x14ac:dyDescent="0.15">
      <c r="A24" s="873" t="s">
        <v>177</v>
      </c>
      <c r="B24" s="874"/>
      <c r="C24" s="875"/>
      <c r="D24" s="871" t="s">
        <v>167</v>
      </c>
      <c r="E24" s="871" t="s">
        <v>168</v>
      </c>
      <c r="F24" s="871" t="s">
        <v>169</v>
      </c>
      <c r="G24" s="871" t="s">
        <v>170</v>
      </c>
      <c r="H24" s="871" t="s">
        <v>171</v>
      </c>
      <c r="I24" s="866" t="s">
        <v>137</v>
      </c>
      <c r="J24" s="866" t="s">
        <v>172</v>
      </c>
      <c r="K24" s="866" t="s">
        <v>173</v>
      </c>
      <c r="L24" s="866" t="s">
        <v>174</v>
      </c>
      <c r="M24" s="866" t="s">
        <v>140</v>
      </c>
      <c r="N24" s="866" t="s">
        <v>141</v>
      </c>
      <c r="O24" s="866" t="s">
        <v>142</v>
      </c>
      <c r="P24" s="866" t="s">
        <v>143</v>
      </c>
      <c r="Q24" s="866" t="s">
        <v>175</v>
      </c>
      <c r="R24" s="866" t="s">
        <v>178</v>
      </c>
    </row>
    <row r="25" spans="1:25" s="295" customFormat="1" ht="20.25" customHeight="1" x14ac:dyDescent="0.15">
      <c r="A25" s="876"/>
      <c r="B25" s="877"/>
      <c r="C25" s="878"/>
      <c r="D25" s="872"/>
      <c r="E25" s="872"/>
      <c r="F25" s="872"/>
      <c r="G25" s="872"/>
      <c r="H25" s="872"/>
      <c r="I25" s="867"/>
      <c r="J25" s="867"/>
      <c r="K25" s="867"/>
      <c r="L25" s="867"/>
      <c r="M25" s="867"/>
      <c r="N25" s="867"/>
      <c r="O25" s="867"/>
      <c r="P25" s="867"/>
      <c r="Q25" s="867"/>
      <c r="R25" s="867"/>
    </row>
    <row r="26" spans="1:25" s="295" customFormat="1" ht="20.25" customHeight="1" x14ac:dyDescent="0.15">
      <c r="A26" s="868" t="s">
        <v>307</v>
      </c>
      <c r="B26" s="869"/>
      <c r="C26" s="870"/>
      <c r="D26" s="468"/>
      <c r="E26" s="468"/>
      <c r="F26" s="468"/>
      <c r="G26" s="468"/>
      <c r="H26" s="468"/>
      <c r="I26" s="468"/>
      <c r="J26" s="300">
        <f>SUM(D26:I26)</f>
        <v>0</v>
      </c>
      <c r="K26" s="468"/>
      <c r="L26" s="468"/>
      <c r="M26" s="468"/>
      <c r="N26" s="468"/>
      <c r="O26" s="468"/>
      <c r="P26" s="468"/>
      <c r="Q26" s="300">
        <f>SUM(K26:P26)</f>
        <v>0</v>
      </c>
      <c r="R26" s="300">
        <f>J26+Q26</f>
        <v>0</v>
      </c>
      <c r="T26" s="113" t="s">
        <v>309</v>
      </c>
    </row>
    <row r="27" spans="1:25" s="295" customFormat="1" ht="20.25" customHeight="1" x14ac:dyDescent="0.15">
      <c r="A27" s="868" t="s">
        <v>308</v>
      </c>
      <c r="B27" s="869"/>
      <c r="C27" s="870"/>
      <c r="D27" s="468"/>
      <c r="E27" s="468"/>
      <c r="F27" s="468"/>
      <c r="G27" s="468"/>
      <c r="H27" s="468"/>
      <c r="I27" s="468"/>
      <c r="J27" s="300">
        <f>SUM(D27:I27)</f>
        <v>0</v>
      </c>
      <c r="K27" s="468"/>
      <c r="L27" s="468"/>
      <c r="M27" s="468"/>
      <c r="N27" s="468"/>
      <c r="O27" s="468"/>
      <c r="P27" s="468"/>
      <c r="Q27" s="300">
        <f>SUM(K27:P27)</f>
        <v>0</v>
      </c>
      <c r="R27" s="300">
        <f>J27+Q27</f>
        <v>0</v>
      </c>
    </row>
  </sheetData>
  <mergeCells count="22">
    <mergeCell ref="A26:C26"/>
    <mergeCell ref="A27:C27"/>
    <mergeCell ref="M24:M25"/>
    <mergeCell ref="N24:N25"/>
    <mergeCell ref="O24:O25"/>
    <mergeCell ref="H24:H25"/>
    <mergeCell ref="I24:I25"/>
    <mergeCell ref="J24:J25"/>
    <mergeCell ref="K24:K25"/>
    <mergeCell ref="L24:L25"/>
    <mergeCell ref="A24:C25"/>
    <mergeCell ref="D24:D25"/>
    <mergeCell ref="E24:E25"/>
    <mergeCell ref="F24:F25"/>
    <mergeCell ref="G24:G25"/>
    <mergeCell ref="A3:C4"/>
    <mergeCell ref="A17:C18"/>
    <mergeCell ref="R17:R18"/>
    <mergeCell ref="A19:B20"/>
    <mergeCell ref="R24:R25"/>
    <mergeCell ref="P24:P25"/>
    <mergeCell ref="Q24:Q25"/>
  </mergeCells>
  <phoneticPr fontId="84" type="noConversion"/>
  <printOptions horizontalCentered="1"/>
  <pageMargins left="0.62992125984251968" right="0.62992125984251968" top="0.70866141732283472" bottom="0.86614173228346458" header="0.51181102362204722" footer="0.51181102362204722"/>
  <pageSetup paperSize="9" scale="37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Y27"/>
  <sheetViews>
    <sheetView workbookViewId="0"/>
  </sheetViews>
  <sheetFormatPr defaultColWidth="9" defaultRowHeight="13.5" x14ac:dyDescent="0.15"/>
  <cols>
    <col min="1" max="3" width="6.625" style="20" customWidth="1"/>
    <col min="4" max="4" width="14.125" style="20" bestFit="1" customWidth="1"/>
    <col min="5" max="18" width="15.125" style="20" bestFit="1" customWidth="1"/>
    <col min="19" max="19" width="6.125" style="20" customWidth="1"/>
    <col min="20" max="46" width="10.125" style="20" customWidth="1"/>
    <col min="47" max="16384" width="9" style="20"/>
  </cols>
  <sheetData>
    <row r="1" spans="1:22" ht="39" customHeight="1" x14ac:dyDescent="0.15">
      <c r="A1" s="124" t="s">
        <v>384</v>
      </c>
      <c r="B1" s="126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573" t="s">
        <v>390</v>
      </c>
      <c r="R1" s="572">
        <v>42.369</v>
      </c>
    </row>
    <row r="2" spans="1:22" ht="19.5" customHeight="1" x14ac:dyDescent="0.15"/>
    <row r="3" spans="1:22" s="114" customFormat="1" ht="20.25" customHeight="1" x14ac:dyDescent="0.15">
      <c r="A3" s="864" t="s">
        <v>18</v>
      </c>
      <c r="B3" s="864"/>
      <c r="C3" s="864"/>
      <c r="D3" s="304" t="s">
        <v>9</v>
      </c>
      <c r="E3" s="304"/>
      <c r="F3" s="304"/>
      <c r="G3" s="304"/>
      <c r="H3" s="304"/>
      <c r="I3" s="304"/>
      <c r="J3" s="304"/>
      <c r="K3" s="304" t="s">
        <v>10</v>
      </c>
      <c r="L3" s="304"/>
      <c r="M3" s="304"/>
      <c r="N3" s="304"/>
      <c r="O3" s="304"/>
      <c r="P3" s="304"/>
      <c r="Q3" s="304"/>
      <c r="R3" s="305"/>
    </row>
    <row r="4" spans="1:22" s="114" customFormat="1" ht="20.25" customHeight="1" x14ac:dyDescent="0.15">
      <c r="A4" s="864"/>
      <c r="B4" s="864"/>
      <c r="C4" s="864"/>
      <c r="D4" s="306">
        <v>1</v>
      </c>
      <c r="E4" s="306">
        <v>2</v>
      </c>
      <c r="F4" s="306">
        <v>3</v>
      </c>
      <c r="G4" s="306">
        <v>4</v>
      </c>
      <c r="H4" s="306">
        <v>5</v>
      </c>
      <c r="I4" s="306">
        <v>6</v>
      </c>
      <c r="J4" s="306" t="s">
        <v>11</v>
      </c>
      <c r="K4" s="306">
        <v>7</v>
      </c>
      <c r="L4" s="306">
        <v>8</v>
      </c>
      <c r="M4" s="306">
        <v>9</v>
      </c>
      <c r="N4" s="306">
        <v>10</v>
      </c>
      <c r="O4" s="306">
        <v>11</v>
      </c>
      <c r="P4" s="306">
        <v>12</v>
      </c>
      <c r="Q4" s="307" t="s">
        <v>11</v>
      </c>
      <c r="R4" s="307" t="s">
        <v>12</v>
      </c>
      <c r="S4" s="169">
        <v>1</v>
      </c>
    </row>
    <row r="5" spans="1:22" s="114" customFormat="1" ht="20.25" customHeight="1" x14ac:dyDescent="0.15">
      <c r="A5" s="312" t="s">
        <v>19</v>
      </c>
      <c r="B5" s="312"/>
      <c r="C5" s="312"/>
      <c r="D5" s="308">
        <v>31</v>
      </c>
      <c r="E5" s="308">
        <v>28</v>
      </c>
      <c r="F5" s="308">
        <v>31</v>
      </c>
      <c r="G5" s="308">
        <v>30</v>
      </c>
      <c r="H5" s="308">
        <v>31</v>
      </c>
      <c r="I5" s="308">
        <v>30</v>
      </c>
      <c r="J5" s="307">
        <f>SUM(D5:I5)</f>
        <v>181</v>
      </c>
      <c r="K5" s="308">
        <v>31</v>
      </c>
      <c r="L5" s="308">
        <v>31</v>
      </c>
      <c r="M5" s="308">
        <v>30</v>
      </c>
      <c r="N5" s="308">
        <v>31</v>
      </c>
      <c r="O5" s="308">
        <v>30</v>
      </c>
      <c r="P5" s="308">
        <v>31</v>
      </c>
      <c r="Q5" s="307">
        <f>SUM(K5:P5)</f>
        <v>184</v>
      </c>
      <c r="R5" s="307">
        <f>Q5+J5</f>
        <v>365</v>
      </c>
      <c r="S5" s="169">
        <v>2</v>
      </c>
      <c r="T5" s="114" t="s">
        <v>182</v>
      </c>
    </row>
    <row r="6" spans="1:22" s="114" customFormat="1" ht="20.25" customHeight="1" x14ac:dyDescent="0.15">
      <c r="A6" s="312" t="s">
        <v>188</v>
      </c>
      <c r="B6" s="312"/>
      <c r="C6" s="312"/>
      <c r="D6" s="466">
        <v>170975136</v>
      </c>
      <c r="E6" s="466">
        <v>134373668</v>
      </c>
      <c r="F6" s="466">
        <v>112885409</v>
      </c>
      <c r="G6" s="466">
        <v>72162192</v>
      </c>
      <c r="H6" s="466">
        <v>57800406</v>
      </c>
      <c r="I6" s="466">
        <v>47106006</v>
      </c>
      <c r="J6" s="309">
        <f>SUM(D6:I6)</f>
        <v>595302817</v>
      </c>
      <c r="K6" s="466">
        <v>46925360</v>
      </c>
      <c r="L6" s="466">
        <v>44955675</v>
      </c>
      <c r="M6" s="466">
        <v>48028606</v>
      </c>
      <c r="N6" s="466">
        <v>57195477</v>
      </c>
      <c r="O6" s="466">
        <v>104566219</v>
      </c>
      <c r="P6" s="466">
        <v>164600205</v>
      </c>
      <c r="Q6" s="309">
        <f>SUM(K6:P6)</f>
        <v>466271542</v>
      </c>
      <c r="R6" s="309">
        <f>Q6+J6</f>
        <v>1061574359</v>
      </c>
      <c r="S6" s="169">
        <v>3</v>
      </c>
      <c r="T6" s="113" t="s">
        <v>348</v>
      </c>
      <c r="U6" s="113"/>
      <c r="V6" s="113"/>
    </row>
    <row r="7" spans="1:22" s="166" customFormat="1" ht="20.25" customHeight="1" x14ac:dyDescent="0.15">
      <c r="A7" s="313" t="s">
        <v>189</v>
      </c>
      <c r="B7" s="313"/>
      <c r="C7" s="313"/>
      <c r="D7" s="310">
        <f>D6</f>
        <v>170975136</v>
      </c>
      <c r="E7" s="310">
        <f>D7+E6</f>
        <v>305348804</v>
      </c>
      <c r="F7" s="310">
        <f>E7+F6</f>
        <v>418234213</v>
      </c>
      <c r="G7" s="310">
        <f>F7+G6</f>
        <v>490396405</v>
      </c>
      <c r="H7" s="310">
        <f>G7+H6</f>
        <v>548196811</v>
      </c>
      <c r="I7" s="310">
        <f>H7+I6</f>
        <v>595302817</v>
      </c>
      <c r="J7" s="310"/>
      <c r="K7" s="310">
        <f>I7+K6</f>
        <v>642228177</v>
      </c>
      <c r="L7" s="310">
        <f>K7+L6</f>
        <v>687183852</v>
      </c>
      <c r="M7" s="310">
        <f>L7+M6</f>
        <v>735212458</v>
      </c>
      <c r="N7" s="310">
        <f>M7+N6</f>
        <v>792407935</v>
      </c>
      <c r="O7" s="310">
        <f>N7+O6</f>
        <v>896974154</v>
      </c>
      <c r="P7" s="310">
        <f>O7+P6</f>
        <v>1061574359</v>
      </c>
      <c r="Q7" s="310"/>
      <c r="R7" s="310"/>
      <c r="S7" s="169">
        <v>4</v>
      </c>
    </row>
    <row r="8" spans="1:22" s="166" customFormat="1" ht="20.25" customHeight="1" x14ac:dyDescent="0.15">
      <c r="A8" s="301"/>
      <c r="B8" s="302"/>
      <c r="C8" s="302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169">
        <v>5</v>
      </c>
    </row>
    <row r="9" spans="1:22" s="114" customFormat="1" ht="20.25" customHeight="1" x14ac:dyDescent="0.15">
      <c r="A9" s="312" t="s">
        <v>190</v>
      </c>
      <c r="B9" s="312"/>
      <c r="C9" s="312"/>
      <c r="D9" s="466">
        <v>168431283</v>
      </c>
      <c r="E9" s="466">
        <v>133092425</v>
      </c>
      <c r="F9" s="466">
        <v>120958338</v>
      </c>
      <c r="G9" s="466">
        <v>66900416</v>
      </c>
      <c r="H9" s="466">
        <v>56313203</v>
      </c>
      <c r="I9" s="466">
        <v>47949001</v>
      </c>
      <c r="J9" s="309">
        <f>SUM(D9:I9)</f>
        <v>593644666</v>
      </c>
      <c r="K9" s="466">
        <v>48263208</v>
      </c>
      <c r="L9" s="466">
        <v>44234358</v>
      </c>
      <c r="M9" s="466">
        <v>42671369</v>
      </c>
      <c r="N9" s="466">
        <v>56594621</v>
      </c>
      <c r="O9" s="466">
        <v>90787759</v>
      </c>
      <c r="P9" s="466">
        <v>154556947</v>
      </c>
      <c r="Q9" s="309">
        <f>SUM(K9:P9)</f>
        <v>437108262</v>
      </c>
      <c r="R9" s="309">
        <f>Q9+J9</f>
        <v>1030752928</v>
      </c>
      <c r="S9" s="169">
        <v>6</v>
      </c>
      <c r="T9" s="113" t="s">
        <v>192</v>
      </c>
      <c r="U9" s="113"/>
      <c r="V9" s="113"/>
    </row>
    <row r="10" spans="1:22" s="114" customFormat="1" ht="20.25" customHeight="1" x14ac:dyDescent="0.15">
      <c r="A10" s="312" t="s">
        <v>191</v>
      </c>
      <c r="B10" s="312"/>
      <c r="C10" s="312"/>
      <c r="D10" s="309">
        <f>D9</f>
        <v>168431283</v>
      </c>
      <c r="E10" s="309">
        <f>D10+E9</f>
        <v>301523708</v>
      </c>
      <c r="F10" s="309">
        <f t="shared" ref="F10:P10" si="0">E10+F9</f>
        <v>422482046</v>
      </c>
      <c r="G10" s="309">
        <f t="shared" si="0"/>
        <v>489382462</v>
      </c>
      <c r="H10" s="309">
        <f>G10+H9</f>
        <v>545695665</v>
      </c>
      <c r="I10" s="309">
        <f t="shared" si="0"/>
        <v>593644666</v>
      </c>
      <c r="J10" s="309">
        <f>I10</f>
        <v>593644666</v>
      </c>
      <c r="K10" s="309">
        <f t="shared" si="0"/>
        <v>641907874</v>
      </c>
      <c r="L10" s="309">
        <f>K10+L9</f>
        <v>686142232</v>
      </c>
      <c r="M10" s="309">
        <f>L10+M9</f>
        <v>728813601</v>
      </c>
      <c r="N10" s="309">
        <f t="shared" si="0"/>
        <v>785408222</v>
      </c>
      <c r="O10" s="309">
        <f t="shared" si="0"/>
        <v>876195981</v>
      </c>
      <c r="P10" s="309">
        <f t="shared" si="0"/>
        <v>1030752928</v>
      </c>
      <c r="Q10" s="309">
        <f>P10</f>
        <v>1030752928</v>
      </c>
      <c r="R10" s="309">
        <f>Q10</f>
        <v>1030752928</v>
      </c>
      <c r="S10" s="169">
        <v>7</v>
      </c>
      <c r="T10" s="113"/>
      <c r="U10" s="113"/>
      <c r="V10" s="113"/>
    </row>
    <row r="11" spans="1:22" ht="20.25" customHeight="1" x14ac:dyDescent="0.15">
      <c r="S11" s="169">
        <v>8</v>
      </c>
    </row>
    <row r="12" spans="1:22" s="114" customFormat="1" ht="20.25" customHeight="1" x14ac:dyDescent="0.15">
      <c r="A12" s="312" t="s">
        <v>32</v>
      </c>
      <c r="B12" s="312"/>
      <c r="C12" s="312"/>
      <c r="D12" s="309">
        <f>'공급량 계획_MJ(2026년)'!D12</f>
        <v>1356948.5</v>
      </c>
      <c r="E12" s="309">
        <f>'공급량 계획_MJ(2026년)'!E12</f>
        <v>1358303.5</v>
      </c>
      <c r="F12" s="309">
        <f>'공급량 계획_MJ(2026년)'!F12</f>
        <v>1359840</v>
      </c>
      <c r="G12" s="309">
        <f>'공급량 계획_MJ(2026년)'!G12</f>
        <v>1361346</v>
      </c>
      <c r="H12" s="309">
        <f>'공급량 계획_MJ(2026년)'!H12</f>
        <v>1362984.5</v>
      </c>
      <c r="I12" s="309">
        <f>'공급량 계획_MJ(2026년)'!I12</f>
        <v>1364667</v>
      </c>
      <c r="J12" s="309"/>
      <c r="K12" s="309">
        <f>'공급량 계획_MJ(2026년)'!K12</f>
        <v>1366020</v>
      </c>
      <c r="L12" s="309">
        <f>'공급량 계획_MJ(2026년)'!L12</f>
        <v>1367072</v>
      </c>
      <c r="M12" s="309">
        <f>'공급량 계획_MJ(2026년)'!M12</f>
        <v>1367963.5</v>
      </c>
      <c r="N12" s="309">
        <f>'공급량 계획_MJ(2026년)'!N12</f>
        <v>1368793.5</v>
      </c>
      <c r="O12" s="309">
        <f>'공급량 계획_MJ(2026년)'!O12</f>
        <v>1369647.5</v>
      </c>
      <c r="P12" s="309">
        <f>'공급량 계획_MJ(2026년)'!P12</f>
        <v>1370529</v>
      </c>
      <c r="Q12" s="309"/>
      <c r="R12" s="309"/>
      <c r="S12" s="169">
        <v>9</v>
      </c>
      <c r="T12" s="113" t="s">
        <v>186</v>
      </c>
      <c r="U12" s="113"/>
      <c r="V12" s="113"/>
    </row>
    <row r="13" spans="1:22" s="114" customFormat="1" ht="20.25" customHeight="1" x14ac:dyDescent="0.15">
      <c r="A13" s="312" t="s">
        <v>31</v>
      </c>
      <c r="B13" s="312"/>
      <c r="C13" s="312"/>
      <c r="D13" s="311">
        <f t="shared" ref="D13:I13" si="1">D6/D12/D5</f>
        <v>4.064507214343017</v>
      </c>
      <c r="E13" s="311">
        <f t="shared" si="1"/>
        <v>3.5331275899889616</v>
      </c>
      <c r="F13" s="311">
        <f t="shared" si="1"/>
        <v>2.6778626944725943</v>
      </c>
      <c r="G13" s="311">
        <f t="shared" si="1"/>
        <v>1.7669324330478806</v>
      </c>
      <c r="H13" s="311">
        <f t="shared" si="1"/>
        <v>1.3679753700841437</v>
      </c>
      <c r="I13" s="311">
        <f t="shared" si="1"/>
        <v>1.1506105152392487</v>
      </c>
      <c r="J13" s="309"/>
      <c r="K13" s="311">
        <f t="shared" ref="K13:P13" si="2">K6/K12/K5</f>
        <v>1.1081252765864193</v>
      </c>
      <c r="L13" s="311">
        <f t="shared" si="2"/>
        <v>1.0607949431457371</v>
      </c>
      <c r="M13" s="311">
        <f t="shared" si="2"/>
        <v>1.1703188961791255</v>
      </c>
      <c r="N13" s="311">
        <f t="shared" si="2"/>
        <v>1.3479136093916098</v>
      </c>
      <c r="O13" s="311">
        <f t="shared" si="2"/>
        <v>2.5448450300776901</v>
      </c>
      <c r="P13" s="311">
        <f t="shared" si="2"/>
        <v>3.8741858306231132</v>
      </c>
      <c r="Q13" s="309"/>
      <c r="R13" s="309"/>
      <c r="S13" s="169">
        <v>10</v>
      </c>
      <c r="T13" s="113" t="s">
        <v>187</v>
      </c>
      <c r="U13" s="113"/>
      <c r="V13" s="113"/>
    </row>
    <row r="14" spans="1:22" ht="20.25" customHeight="1" x14ac:dyDescent="0.15"/>
    <row r="15" spans="1:22" ht="20.25" customHeight="1" x14ac:dyDescent="0.15"/>
    <row r="16" spans="1:22" ht="20.25" customHeight="1" x14ac:dyDescent="0.15">
      <c r="A16" s="20" t="s">
        <v>352</v>
      </c>
    </row>
    <row r="17" spans="1:25" s="289" customFormat="1" ht="20.25" customHeight="1" x14ac:dyDescent="0.15">
      <c r="A17" s="859" t="s">
        <v>18</v>
      </c>
      <c r="B17" s="859"/>
      <c r="C17" s="859"/>
      <c r="D17" s="296" t="s">
        <v>9</v>
      </c>
      <c r="E17" s="296"/>
      <c r="F17" s="296"/>
      <c r="G17" s="296"/>
      <c r="H17" s="296"/>
      <c r="I17" s="296"/>
      <c r="J17" s="296"/>
      <c r="K17" s="296" t="s">
        <v>10</v>
      </c>
      <c r="L17" s="296"/>
      <c r="M17" s="296"/>
      <c r="N17" s="296"/>
      <c r="O17" s="296"/>
      <c r="P17" s="296"/>
      <c r="Q17" s="296"/>
      <c r="R17" s="859" t="s">
        <v>12</v>
      </c>
    </row>
    <row r="18" spans="1:25" s="289" customFormat="1" ht="20.25" customHeight="1" x14ac:dyDescent="0.15">
      <c r="A18" s="859"/>
      <c r="B18" s="859"/>
      <c r="C18" s="859"/>
      <c r="D18" s="341" t="s">
        <v>148</v>
      </c>
      <c r="E18" s="341" t="s">
        <v>161</v>
      </c>
      <c r="F18" s="341" t="s">
        <v>162</v>
      </c>
      <c r="G18" s="341" t="s">
        <v>149</v>
      </c>
      <c r="H18" s="341" t="s">
        <v>163</v>
      </c>
      <c r="I18" s="341" t="s">
        <v>137</v>
      </c>
      <c r="J18" s="341" t="s">
        <v>11</v>
      </c>
      <c r="K18" s="341" t="s">
        <v>138</v>
      </c>
      <c r="L18" s="341" t="s">
        <v>139</v>
      </c>
      <c r="M18" s="341" t="s">
        <v>140</v>
      </c>
      <c r="N18" s="341" t="s">
        <v>141</v>
      </c>
      <c r="O18" s="341" t="s">
        <v>142</v>
      </c>
      <c r="P18" s="341" t="s">
        <v>143</v>
      </c>
      <c r="Q18" s="341" t="s">
        <v>11</v>
      </c>
      <c r="R18" s="859"/>
    </row>
    <row r="19" spans="1:25" s="292" customFormat="1" ht="20.25" customHeight="1" x14ac:dyDescent="0.15">
      <c r="A19" s="865" t="s">
        <v>164</v>
      </c>
      <c r="B19" s="865"/>
      <c r="C19" s="297" t="s">
        <v>165</v>
      </c>
      <c r="D19" s="326">
        <v>0</v>
      </c>
      <c r="E19" s="326">
        <v>0</v>
      </c>
      <c r="F19" s="326">
        <v>0</v>
      </c>
      <c r="G19" s="326">
        <v>0</v>
      </c>
      <c r="H19" s="326">
        <v>0</v>
      </c>
      <c r="I19" s="326">
        <v>0</v>
      </c>
      <c r="J19" s="298">
        <f>SUM(D19:I19)</f>
        <v>0</v>
      </c>
      <c r="K19" s="326">
        <v>0</v>
      </c>
      <c r="L19" s="326">
        <v>0</v>
      </c>
      <c r="M19" s="326">
        <v>0</v>
      </c>
      <c r="N19" s="326">
        <v>0</v>
      </c>
      <c r="O19" s="326">
        <v>0</v>
      </c>
      <c r="P19" s="326">
        <v>0</v>
      </c>
      <c r="Q19" s="298">
        <f>SUM(K19:P19)</f>
        <v>0</v>
      </c>
      <c r="R19" s="298">
        <f>J19+Q19</f>
        <v>0</v>
      </c>
      <c r="Y19" s="293"/>
    </row>
    <row r="20" spans="1:25" s="292" customFormat="1" ht="20.25" customHeight="1" x14ac:dyDescent="0.15">
      <c r="A20" s="865"/>
      <c r="B20" s="865"/>
      <c r="C20" s="297" t="s">
        <v>166</v>
      </c>
      <c r="D20" s="467">
        <v>0</v>
      </c>
      <c r="E20" s="467">
        <v>0</v>
      </c>
      <c r="F20" s="467">
        <v>0</v>
      </c>
      <c r="G20" s="467">
        <v>0</v>
      </c>
      <c r="H20" s="467">
        <v>0</v>
      </c>
      <c r="I20" s="467">
        <v>0</v>
      </c>
      <c r="J20" s="299">
        <f>SUM(D20:I20)</f>
        <v>0</v>
      </c>
      <c r="K20" s="467">
        <v>0</v>
      </c>
      <c r="L20" s="467">
        <v>0</v>
      </c>
      <c r="M20" s="467">
        <v>0</v>
      </c>
      <c r="N20" s="467">
        <v>0</v>
      </c>
      <c r="O20" s="467">
        <v>0</v>
      </c>
      <c r="P20" s="467">
        <v>0</v>
      </c>
      <c r="Q20" s="299">
        <f>SUM(K20:P20)</f>
        <v>0</v>
      </c>
      <c r="R20" s="299">
        <f>J20+Q20</f>
        <v>0</v>
      </c>
      <c r="Y20" s="294"/>
    </row>
    <row r="21" spans="1:25" ht="20.25" customHeight="1" x14ac:dyDescent="0.15"/>
    <row r="22" spans="1:25" ht="20.25" customHeight="1" x14ac:dyDescent="0.15"/>
    <row r="23" spans="1:25" ht="20.25" customHeight="1" x14ac:dyDescent="0.15">
      <c r="A23" s="20" t="s">
        <v>306</v>
      </c>
    </row>
    <row r="24" spans="1:25" s="295" customFormat="1" ht="20.25" customHeight="1" x14ac:dyDescent="0.15">
      <c r="A24" s="873" t="s">
        <v>177</v>
      </c>
      <c r="B24" s="874"/>
      <c r="C24" s="875"/>
      <c r="D24" s="871" t="s">
        <v>167</v>
      </c>
      <c r="E24" s="871" t="s">
        <v>168</v>
      </c>
      <c r="F24" s="871" t="s">
        <v>169</v>
      </c>
      <c r="G24" s="871" t="s">
        <v>170</v>
      </c>
      <c r="H24" s="871" t="s">
        <v>171</v>
      </c>
      <c r="I24" s="866" t="s">
        <v>137</v>
      </c>
      <c r="J24" s="866" t="s">
        <v>172</v>
      </c>
      <c r="K24" s="866" t="s">
        <v>173</v>
      </c>
      <c r="L24" s="866" t="s">
        <v>174</v>
      </c>
      <c r="M24" s="866" t="s">
        <v>140</v>
      </c>
      <c r="N24" s="866" t="s">
        <v>141</v>
      </c>
      <c r="O24" s="866" t="s">
        <v>142</v>
      </c>
      <c r="P24" s="866" t="s">
        <v>143</v>
      </c>
      <c r="Q24" s="866" t="s">
        <v>175</v>
      </c>
      <c r="R24" s="866" t="s">
        <v>178</v>
      </c>
    </row>
    <row r="25" spans="1:25" s="295" customFormat="1" ht="20.25" customHeight="1" x14ac:dyDescent="0.15">
      <c r="A25" s="876"/>
      <c r="B25" s="877"/>
      <c r="C25" s="878"/>
      <c r="D25" s="872"/>
      <c r="E25" s="872"/>
      <c r="F25" s="872"/>
      <c r="G25" s="872"/>
      <c r="H25" s="872"/>
      <c r="I25" s="867"/>
      <c r="J25" s="867"/>
      <c r="K25" s="867"/>
      <c r="L25" s="867"/>
      <c r="M25" s="867"/>
      <c r="N25" s="867"/>
      <c r="O25" s="867"/>
      <c r="P25" s="867"/>
      <c r="Q25" s="867"/>
      <c r="R25" s="867"/>
    </row>
    <row r="26" spans="1:25" s="295" customFormat="1" ht="20.25" customHeight="1" x14ac:dyDescent="0.15">
      <c r="A26" s="868" t="s">
        <v>179</v>
      </c>
      <c r="B26" s="869"/>
      <c r="C26" s="870"/>
      <c r="D26" s="468"/>
      <c r="E26" s="468"/>
      <c r="F26" s="468"/>
      <c r="G26" s="468"/>
      <c r="H26" s="468"/>
      <c r="I26" s="468"/>
      <c r="J26" s="300">
        <f>SUM(D26:I26)</f>
        <v>0</v>
      </c>
      <c r="K26" s="468"/>
      <c r="L26" s="468"/>
      <c r="M26" s="468"/>
      <c r="N26" s="468"/>
      <c r="O26" s="468"/>
      <c r="P26" s="468"/>
      <c r="Q26" s="300">
        <f>SUM(K26:P26)</f>
        <v>0</v>
      </c>
      <c r="R26" s="300">
        <f>J26+Q26</f>
        <v>0</v>
      </c>
      <c r="T26" s="113" t="s">
        <v>309</v>
      </c>
    </row>
    <row r="27" spans="1:25" s="295" customFormat="1" ht="20.25" customHeight="1" x14ac:dyDescent="0.15">
      <c r="A27" s="868" t="s">
        <v>176</v>
      </c>
      <c r="B27" s="869"/>
      <c r="C27" s="870"/>
      <c r="D27" s="468"/>
      <c r="E27" s="468"/>
      <c r="F27" s="468"/>
      <c r="G27" s="468"/>
      <c r="H27" s="468"/>
      <c r="I27" s="468"/>
      <c r="J27" s="300">
        <f>SUM(D27:I27)</f>
        <v>0</v>
      </c>
      <c r="K27" s="468"/>
      <c r="L27" s="468"/>
      <c r="M27" s="468"/>
      <c r="N27" s="468"/>
      <c r="O27" s="468"/>
      <c r="P27" s="468"/>
      <c r="Q27" s="300">
        <f>SUM(K27:P27)</f>
        <v>0</v>
      </c>
      <c r="R27" s="300">
        <f>J27+Q27</f>
        <v>0</v>
      </c>
    </row>
  </sheetData>
  <mergeCells count="22">
    <mergeCell ref="A27:C27"/>
    <mergeCell ref="I24:I25"/>
    <mergeCell ref="J24:J25"/>
    <mergeCell ref="K24:K25"/>
    <mergeCell ref="L24:L25"/>
    <mergeCell ref="A26:C26"/>
    <mergeCell ref="A3:C4"/>
    <mergeCell ref="A17:C18"/>
    <mergeCell ref="R17:R18"/>
    <mergeCell ref="A19:B20"/>
    <mergeCell ref="A24:C25"/>
    <mergeCell ref="D24:D25"/>
    <mergeCell ref="E24:E25"/>
    <mergeCell ref="F24:F25"/>
    <mergeCell ref="G24:G25"/>
    <mergeCell ref="H24:H25"/>
    <mergeCell ref="O24:O25"/>
    <mergeCell ref="P24:P25"/>
    <mergeCell ref="Q24:Q25"/>
    <mergeCell ref="R24:R25"/>
    <mergeCell ref="M24:M25"/>
    <mergeCell ref="N24:N25"/>
  </mergeCells>
  <phoneticPr fontId="38" type="noConversion"/>
  <printOptions horizontalCentered="1"/>
  <pageMargins left="0.62992125984251968" right="0.62992125984251968" top="0.70866141732283472" bottom="0.86614173228346458" header="0.51181102362204722" footer="0.51181102362204722"/>
  <pageSetup paperSize="9" scale="38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O196"/>
  <sheetViews>
    <sheetView workbookViewId="0">
      <selection activeCell="G17" sqref="G17"/>
    </sheetView>
  </sheetViews>
  <sheetFormatPr defaultColWidth="9" defaultRowHeight="14.25" x14ac:dyDescent="0.15"/>
  <cols>
    <col min="1" max="1" width="24.25" style="474" customWidth="1"/>
    <col min="2" max="2" width="10.25" style="474" customWidth="1"/>
    <col min="3" max="3" width="22.125" style="673" customWidth="1"/>
    <col min="4" max="4" width="21.75" style="474" customWidth="1"/>
    <col min="5" max="15" width="20.625" style="474" customWidth="1"/>
    <col min="16" max="16384" width="9" style="474"/>
  </cols>
  <sheetData>
    <row r="1" spans="1:15" s="577" customFormat="1" ht="31.5" customHeight="1" x14ac:dyDescent="0.15">
      <c r="A1" s="576" t="s">
        <v>457</v>
      </c>
      <c r="B1" s="576"/>
      <c r="C1" s="576"/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  <c r="O1" s="576"/>
    </row>
    <row r="2" spans="1:15" s="577" customFormat="1" ht="31.5" customHeight="1" x14ac:dyDescent="0.15">
      <c r="A2" s="578"/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</row>
    <row r="3" spans="1:15" s="577" customFormat="1" ht="26.25" thickBot="1" x14ac:dyDescent="0.2">
      <c r="A3" s="580" t="s">
        <v>392</v>
      </c>
      <c r="B3" s="581"/>
      <c r="C3" s="582"/>
      <c r="D3" s="581"/>
      <c r="E3" s="581"/>
      <c r="F3" s="581"/>
      <c r="G3" s="581"/>
      <c r="H3" s="581"/>
      <c r="I3" s="581"/>
      <c r="J3" s="581"/>
      <c r="K3" s="581"/>
      <c r="L3" s="581"/>
      <c r="M3" s="581"/>
      <c r="N3" s="581"/>
      <c r="O3" s="581"/>
    </row>
    <row r="4" spans="1:15" s="583" customFormat="1" ht="16.5" customHeight="1" x14ac:dyDescent="0.15">
      <c r="A4" s="891" t="s">
        <v>393</v>
      </c>
      <c r="B4" s="892"/>
      <c r="C4" s="895" t="s">
        <v>394</v>
      </c>
      <c r="D4" s="896"/>
      <c r="E4" s="896"/>
      <c r="F4" s="896"/>
      <c r="G4" s="896"/>
      <c r="H4" s="897"/>
      <c r="I4" s="898" t="s">
        <v>395</v>
      </c>
      <c r="J4" s="896"/>
      <c r="K4" s="896"/>
      <c r="L4" s="896"/>
      <c r="M4" s="896"/>
      <c r="N4" s="899"/>
      <c r="O4" s="879" t="s">
        <v>396</v>
      </c>
    </row>
    <row r="5" spans="1:15" s="583" customFormat="1" ht="12.75" thickBot="1" x14ac:dyDescent="0.2">
      <c r="A5" s="893"/>
      <c r="B5" s="894"/>
      <c r="C5" s="584">
        <v>1</v>
      </c>
      <c r="D5" s="585">
        <f>C5+1</f>
        <v>2</v>
      </c>
      <c r="E5" s="585">
        <f t="shared" ref="E5:N5" si="0">D5+1</f>
        <v>3</v>
      </c>
      <c r="F5" s="585">
        <f t="shared" si="0"/>
        <v>4</v>
      </c>
      <c r="G5" s="585">
        <f t="shared" si="0"/>
        <v>5</v>
      </c>
      <c r="H5" s="586">
        <f t="shared" si="0"/>
        <v>6</v>
      </c>
      <c r="I5" s="587">
        <f t="shared" si="0"/>
        <v>7</v>
      </c>
      <c r="J5" s="585">
        <f t="shared" si="0"/>
        <v>8</v>
      </c>
      <c r="K5" s="585">
        <f t="shared" si="0"/>
        <v>9</v>
      </c>
      <c r="L5" s="585">
        <f t="shared" si="0"/>
        <v>10</v>
      </c>
      <c r="M5" s="585">
        <f t="shared" si="0"/>
        <v>11</v>
      </c>
      <c r="N5" s="588">
        <f t="shared" si="0"/>
        <v>12</v>
      </c>
      <c r="O5" s="880"/>
    </row>
    <row r="6" spans="1:15" s="583" customFormat="1" ht="20.100000000000001" customHeight="1" x14ac:dyDescent="0.15">
      <c r="A6" s="881" t="s">
        <v>397</v>
      </c>
      <c r="B6" s="884" t="s">
        <v>398</v>
      </c>
      <c r="C6" s="589" t="s">
        <v>419</v>
      </c>
      <c r="D6" s="590" t="s">
        <v>453</v>
      </c>
      <c r="E6" s="590" t="s">
        <v>452</v>
      </c>
      <c r="F6" s="590" t="s">
        <v>421</v>
      </c>
      <c r="G6" s="590" t="s">
        <v>414</v>
      </c>
      <c r="H6" s="591"/>
      <c r="I6" s="592" t="s">
        <v>417</v>
      </c>
      <c r="J6" s="590" t="s">
        <v>458</v>
      </c>
      <c r="K6" s="590" t="s">
        <v>391</v>
      </c>
      <c r="L6" s="590" t="s">
        <v>450</v>
      </c>
      <c r="M6" s="590" t="s">
        <v>414</v>
      </c>
      <c r="N6" s="593" t="s">
        <v>459</v>
      </c>
      <c r="O6" s="594"/>
    </row>
    <row r="7" spans="1:15" s="583" customFormat="1" ht="20.100000000000001" customHeight="1" x14ac:dyDescent="0.15">
      <c r="A7" s="882"/>
      <c r="B7" s="885"/>
      <c r="C7" s="595">
        <v>1758</v>
      </c>
      <c r="D7" s="596">
        <v>752</v>
      </c>
      <c r="E7" s="596">
        <v>451</v>
      </c>
      <c r="F7" s="596">
        <v>2023</v>
      </c>
      <c r="G7" s="596" t="s">
        <v>414</v>
      </c>
      <c r="H7" s="597"/>
      <c r="I7" s="598">
        <v>691</v>
      </c>
      <c r="J7" s="596">
        <v>355</v>
      </c>
      <c r="K7" s="596">
        <v>124</v>
      </c>
      <c r="L7" s="596">
        <v>278</v>
      </c>
      <c r="M7" s="596" t="s">
        <v>414</v>
      </c>
      <c r="N7" s="599">
        <v>438</v>
      </c>
      <c r="O7" s="600"/>
    </row>
    <row r="8" spans="1:15" s="583" customFormat="1" ht="20.100000000000001" customHeight="1" x14ac:dyDescent="0.15">
      <c r="A8" s="882"/>
      <c r="B8" s="885"/>
      <c r="C8" s="601" t="s">
        <v>420</v>
      </c>
      <c r="D8" s="602" t="s">
        <v>423</v>
      </c>
      <c r="E8" s="603" t="s">
        <v>454</v>
      </c>
      <c r="F8" s="603" t="s">
        <v>416</v>
      </c>
      <c r="G8" s="603" t="s">
        <v>414</v>
      </c>
      <c r="H8" s="604" t="s">
        <v>460</v>
      </c>
      <c r="I8" s="605" t="s">
        <v>414</v>
      </c>
      <c r="J8" s="603" t="s">
        <v>414</v>
      </c>
      <c r="K8" s="603" t="s">
        <v>414</v>
      </c>
      <c r="L8" s="603" t="s">
        <v>414</v>
      </c>
      <c r="M8" s="603" t="s">
        <v>414</v>
      </c>
      <c r="N8" s="606" t="s">
        <v>414</v>
      </c>
      <c r="O8" s="607"/>
    </row>
    <row r="9" spans="1:15" s="583" customFormat="1" ht="20.100000000000001" customHeight="1" x14ac:dyDescent="0.15">
      <c r="A9" s="882"/>
      <c r="B9" s="885"/>
      <c r="C9" s="608">
        <v>492</v>
      </c>
      <c r="D9" s="609">
        <v>200</v>
      </c>
      <c r="E9" s="596">
        <v>29</v>
      </c>
      <c r="F9" s="596">
        <v>463</v>
      </c>
      <c r="G9" s="596" t="s">
        <v>414</v>
      </c>
      <c r="H9" s="610">
        <v>1740</v>
      </c>
      <c r="I9" s="598" t="s">
        <v>414</v>
      </c>
      <c r="J9" s="596" t="s">
        <v>414</v>
      </c>
      <c r="K9" s="596" t="s">
        <v>414</v>
      </c>
      <c r="L9" s="611" t="s">
        <v>414</v>
      </c>
      <c r="M9" s="596" t="s">
        <v>414</v>
      </c>
      <c r="N9" s="599" t="s">
        <v>414</v>
      </c>
      <c r="O9" s="600"/>
    </row>
    <row r="10" spans="1:15" s="583" customFormat="1" ht="20.100000000000001" customHeight="1" x14ac:dyDescent="0.15">
      <c r="A10" s="882"/>
      <c r="B10" s="885"/>
      <c r="C10" s="601" t="s">
        <v>414</v>
      </c>
      <c r="D10" s="602" t="s">
        <v>451</v>
      </c>
      <c r="E10" s="603" t="s">
        <v>414</v>
      </c>
      <c r="F10" s="603" t="s">
        <v>455</v>
      </c>
      <c r="G10" s="603" t="s">
        <v>414</v>
      </c>
      <c r="H10" s="612"/>
      <c r="I10" s="605" t="s">
        <v>414</v>
      </c>
      <c r="J10" s="603" t="s">
        <v>414</v>
      </c>
      <c r="K10" s="603" t="s">
        <v>414</v>
      </c>
      <c r="L10" s="603" t="s">
        <v>414</v>
      </c>
      <c r="M10" s="603" t="s">
        <v>414</v>
      </c>
      <c r="N10" s="606" t="s">
        <v>414</v>
      </c>
      <c r="O10" s="607"/>
    </row>
    <row r="11" spans="1:15" s="583" customFormat="1" ht="20.100000000000001" customHeight="1" x14ac:dyDescent="0.15">
      <c r="A11" s="882"/>
      <c r="B11" s="885"/>
      <c r="C11" s="608" t="s">
        <v>414</v>
      </c>
      <c r="D11" s="609">
        <v>1243</v>
      </c>
      <c r="E11" s="596" t="s">
        <v>414</v>
      </c>
      <c r="F11" s="596">
        <v>596</v>
      </c>
      <c r="G11" s="596" t="s">
        <v>414</v>
      </c>
      <c r="H11" s="597"/>
      <c r="I11" s="598" t="s">
        <v>414</v>
      </c>
      <c r="J11" s="596" t="s">
        <v>414</v>
      </c>
      <c r="K11" s="596" t="s">
        <v>414</v>
      </c>
      <c r="L11" s="611" t="s">
        <v>414</v>
      </c>
      <c r="M11" s="596" t="s">
        <v>414</v>
      </c>
      <c r="N11" s="599" t="s">
        <v>414</v>
      </c>
      <c r="O11" s="600"/>
    </row>
    <row r="12" spans="1:15" s="583" customFormat="1" ht="20.100000000000001" customHeight="1" x14ac:dyDescent="0.15">
      <c r="A12" s="882"/>
      <c r="B12" s="885"/>
      <c r="C12" s="601" t="s">
        <v>414</v>
      </c>
      <c r="D12" s="602" t="s">
        <v>422</v>
      </c>
      <c r="E12" s="603" t="s">
        <v>414</v>
      </c>
      <c r="F12" s="603" t="s">
        <v>456</v>
      </c>
      <c r="G12" s="603" t="s">
        <v>414</v>
      </c>
      <c r="H12" s="612" t="s">
        <v>414</v>
      </c>
      <c r="I12" s="605" t="s">
        <v>414</v>
      </c>
      <c r="J12" s="603" t="s">
        <v>414</v>
      </c>
      <c r="K12" s="603" t="s">
        <v>414</v>
      </c>
      <c r="L12" s="603" t="s">
        <v>414</v>
      </c>
      <c r="M12" s="603" t="s">
        <v>414</v>
      </c>
      <c r="N12" s="606" t="s">
        <v>414</v>
      </c>
      <c r="O12" s="607"/>
    </row>
    <row r="13" spans="1:15" s="583" customFormat="1" ht="20.100000000000001" customHeight="1" x14ac:dyDescent="0.15">
      <c r="A13" s="882"/>
      <c r="B13" s="885"/>
      <c r="C13" s="608" t="s">
        <v>414</v>
      </c>
      <c r="D13" s="609">
        <v>1157</v>
      </c>
      <c r="E13" s="596" t="s">
        <v>414</v>
      </c>
      <c r="F13" s="596">
        <v>543</v>
      </c>
      <c r="G13" s="596" t="s">
        <v>414</v>
      </c>
      <c r="H13" s="597" t="s">
        <v>414</v>
      </c>
      <c r="I13" s="598" t="s">
        <v>414</v>
      </c>
      <c r="J13" s="596" t="s">
        <v>414</v>
      </c>
      <c r="K13" s="596" t="s">
        <v>414</v>
      </c>
      <c r="L13" s="611" t="s">
        <v>414</v>
      </c>
      <c r="M13" s="596" t="s">
        <v>414</v>
      </c>
      <c r="N13" s="599" t="s">
        <v>414</v>
      </c>
      <c r="O13" s="600"/>
    </row>
    <row r="14" spans="1:15" s="583" customFormat="1" ht="20.100000000000001" customHeight="1" x14ac:dyDescent="0.15">
      <c r="A14" s="882"/>
      <c r="B14" s="885"/>
      <c r="C14" s="601" t="s">
        <v>414</v>
      </c>
      <c r="D14" s="602" t="s">
        <v>414</v>
      </c>
      <c r="E14" s="603" t="s">
        <v>414</v>
      </c>
      <c r="F14" s="603" t="s">
        <v>418</v>
      </c>
      <c r="G14" s="603" t="s">
        <v>414</v>
      </c>
      <c r="H14" s="612" t="s">
        <v>414</v>
      </c>
      <c r="I14" s="605" t="s">
        <v>414</v>
      </c>
      <c r="J14" s="603" t="s">
        <v>414</v>
      </c>
      <c r="K14" s="603" t="s">
        <v>414</v>
      </c>
      <c r="L14" s="603" t="s">
        <v>414</v>
      </c>
      <c r="M14" s="603" t="s">
        <v>414</v>
      </c>
      <c r="N14" s="606" t="s">
        <v>414</v>
      </c>
      <c r="O14" s="607"/>
    </row>
    <row r="15" spans="1:15" s="583" customFormat="1" ht="20.100000000000001" customHeight="1" x14ac:dyDescent="0.15">
      <c r="A15" s="882"/>
      <c r="B15" s="885"/>
      <c r="C15" s="608" t="s">
        <v>414</v>
      </c>
      <c r="D15" s="609" t="s">
        <v>414</v>
      </c>
      <c r="E15" s="596" t="s">
        <v>414</v>
      </c>
      <c r="F15" s="596">
        <v>289</v>
      </c>
      <c r="G15" s="596" t="s">
        <v>414</v>
      </c>
      <c r="H15" s="597" t="s">
        <v>414</v>
      </c>
      <c r="I15" s="598" t="s">
        <v>414</v>
      </c>
      <c r="J15" s="596" t="s">
        <v>414</v>
      </c>
      <c r="K15" s="596" t="s">
        <v>414</v>
      </c>
      <c r="L15" s="611" t="s">
        <v>414</v>
      </c>
      <c r="M15" s="596" t="s">
        <v>414</v>
      </c>
      <c r="N15" s="599" t="s">
        <v>414</v>
      </c>
      <c r="O15" s="600"/>
    </row>
    <row r="16" spans="1:15" s="583" customFormat="1" ht="20.100000000000001" customHeight="1" x14ac:dyDescent="0.15">
      <c r="A16" s="882"/>
      <c r="B16" s="885"/>
      <c r="C16" s="601" t="s">
        <v>414</v>
      </c>
      <c r="D16" s="602" t="s">
        <v>414</v>
      </c>
      <c r="E16" s="603" t="s">
        <v>414</v>
      </c>
      <c r="F16" s="603" t="s">
        <v>449</v>
      </c>
      <c r="G16" s="603" t="s">
        <v>414</v>
      </c>
      <c r="H16" s="612" t="s">
        <v>414</v>
      </c>
      <c r="I16" s="605" t="s">
        <v>414</v>
      </c>
      <c r="J16" s="603" t="s">
        <v>414</v>
      </c>
      <c r="K16" s="603" t="s">
        <v>414</v>
      </c>
      <c r="L16" s="603" t="s">
        <v>414</v>
      </c>
      <c r="M16" s="603" t="s">
        <v>414</v>
      </c>
      <c r="N16" s="606" t="s">
        <v>414</v>
      </c>
      <c r="O16" s="607"/>
    </row>
    <row r="17" spans="1:15" s="583" customFormat="1" ht="20.100000000000001" customHeight="1" x14ac:dyDescent="0.15">
      <c r="A17" s="882"/>
      <c r="B17" s="885"/>
      <c r="C17" s="608" t="s">
        <v>414</v>
      </c>
      <c r="D17" s="609" t="s">
        <v>414</v>
      </c>
      <c r="E17" s="596" t="s">
        <v>414</v>
      </c>
      <c r="F17" s="596">
        <v>463</v>
      </c>
      <c r="G17" s="596" t="s">
        <v>414</v>
      </c>
      <c r="H17" s="597" t="s">
        <v>414</v>
      </c>
      <c r="I17" s="598" t="s">
        <v>414</v>
      </c>
      <c r="J17" s="596" t="s">
        <v>414</v>
      </c>
      <c r="K17" s="596" t="s">
        <v>414</v>
      </c>
      <c r="L17" s="611" t="s">
        <v>414</v>
      </c>
      <c r="M17" s="596" t="s">
        <v>414</v>
      </c>
      <c r="N17" s="599" t="s">
        <v>414</v>
      </c>
      <c r="O17" s="600"/>
    </row>
    <row r="18" spans="1:15" s="583" customFormat="1" ht="20.100000000000001" customHeight="1" x14ac:dyDescent="0.15">
      <c r="A18" s="882"/>
      <c r="B18" s="885"/>
      <c r="C18" s="601" t="s">
        <v>414</v>
      </c>
      <c r="D18" s="602" t="s">
        <v>414</v>
      </c>
      <c r="E18" s="603" t="s">
        <v>414</v>
      </c>
      <c r="F18" s="603" t="s">
        <v>414</v>
      </c>
      <c r="G18" s="603" t="s">
        <v>414</v>
      </c>
      <c r="H18" s="612" t="s">
        <v>414</v>
      </c>
      <c r="I18" s="605" t="s">
        <v>414</v>
      </c>
      <c r="J18" s="603" t="s">
        <v>414</v>
      </c>
      <c r="K18" s="603" t="s">
        <v>414</v>
      </c>
      <c r="L18" s="603" t="s">
        <v>414</v>
      </c>
      <c r="M18" s="603" t="s">
        <v>414</v>
      </c>
      <c r="N18" s="606" t="s">
        <v>414</v>
      </c>
      <c r="O18" s="607"/>
    </row>
    <row r="19" spans="1:15" s="583" customFormat="1" ht="20.100000000000001" customHeight="1" x14ac:dyDescent="0.15">
      <c r="A19" s="882"/>
      <c r="B19" s="885"/>
      <c r="C19" s="608" t="s">
        <v>414</v>
      </c>
      <c r="D19" s="609" t="s">
        <v>414</v>
      </c>
      <c r="E19" s="596" t="s">
        <v>414</v>
      </c>
      <c r="F19" s="596" t="s">
        <v>414</v>
      </c>
      <c r="G19" s="596" t="s">
        <v>414</v>
      </c>
      <c r="H19" s="597" t="s">
        <v>414</v>
      </c>
      <c r="I19" s="598" t="s">
        <v>414</v>
      </c>
      <c r="J19" s="596" t="s">
        <v>414</v>
      </c>
      <c r="K19" s="596" t="s">
        <v>414</v>
      </c>
      <c r="L19" s="611" t="s">
        <v>414</v>
      </c>
      <c r="M19" s="596" t="s">
        <v>414</v>
      </c>
      <c r="N19" s="599" t="s">
        <v>414</v>
      </c>
      <c r="O19" s="600"/>
    </row>
    <row r="20" spans="1:15" s="583" customFormat="1" ht="20.100000000000001" customHeight="1" x14ac:dyDescent="0.15">
      <c r="A20" s="882"/>
      <c r="B20" s="885"/>
      <c r="C20" s="601" t="s">
        <v>414</v>
      </c>
      <c r="D20" s="602" t="s">
        <v>414</v>
      </c>
      <c r="E20" s="603" t="s">
        <v>414</v>
      </c>
      <c r="F20" s="603" t="s">
        <v>414</v>
      </c>
      <c r="G20" s="603" t="s">
        <v>414</v>
      </c>
      <c r="H20" s="612" t="s">
        <v>414</v>
      </c>
      <c r="I20" s="605" t="s">
        <v>414</v>
      </c>
      <c r="J20" s="603" t="s">
        <v>414</v>
      </c>
      <c r="K20" s="603" t="s">
        <v>414</v>
      </c>
      <c r="L20" s="603" t="s">
        <v>414</v>
      </c>
      <c r="M20" s="603" t="s">
        <v>414</v>
      </c>
      <c r="N20" s="606" t="s">
        <v>414</v>
      </c>
      <c r="O20" s="607"/>
    </row>
    <row r="21" spans="1:15" s="583" customFormat="1" ht="20.100000000000001" customHeight="1" x14ac:dyDescent="0.15">
      <c r="A21" s="882"/>
      <c r="B21" s="885"/>
      <c r="C21" s="608" t="s">
        <v>414</v>
      </c>
      <c r="D21" s="609" t="s">
        <v>414</v>
      </c>
      <c r="E21" s="596" t="s">
        <v>414</v>
      </c>
      <c r="F21" s="596" t="s">
        <v>414</v>
      </c>
      <c r="G21" s="596" t="s">
        <v>414</v>
      </c>
      <c r="H21" s="597" t="s">
        <v>414</v>
      </c>
      <c r="I21" s="598" t="s">
        <v>414</v>
      </c>
      <c r="J21" s="596" t="s">
        <v>414</v>
      </c>
      <c r="K21" s="596" t="s">
        <v>414</v>
      </c>
      <c r="L21" s="611" t="s">
        <v>414</v>
      </c>
      <c r="M21" s="596" t="s">
        <v>414</v>
      </c>
      <c r="N21" s="599" t="s">
        <v>414</v>
      </c>
      <c r="O21" s="600"/>
    </row>
    <row r="22" spans="1:15" s="583" customFormat="1" ht="20.100000000000001" customHeight="1" x14ac:dyDescent="0.15">
      <c r="A22" s="882"/>
      <c r="B22" s="885"/>
      <c r="C22" s="601" t="s">
        <v>414</v>
      </c>
      <c r="D22" s="602" t="s">
        <v>414</v>
      </c>
      <c r="E22" s="603" t="s">
        <v>414</v>
      </c>
      <c r="F22" s="603" t="s">
        <v>414</v>
      </c>
      <c r="G22" s="603" t="s">
        <v>414</v>
      </c>
      <c r="H22" s="612" t="s">
        <v>414</v>
      </c>
      <c r="I22" s="605" t="s">
        <v>414</v>
      </c>
      <c r="J22" s="603" t="s">
        <v>414</v>
      </c>
      <c r="K22" s="603" t="s">
        <v>414</v>
      </c>
      <c r="L22" s="603" t="s">
        <v>414</v>
      </c>
      <c r="M22" s="603" t="s">
        <v>414</v>
      </c>
      <c r="N22" s="606" t="s">
        <v>414</v>
      </c>
      <c r="O22" s="607"/>
    </row>
    <row r="23" spans="1:15" s="583" customFormat="1" ht="20.100000000000001" customHeight="1" x14ac:dyDescent="0.15">
      <c r="A23" s="882"/>
      <c r="B23" s="885"/>
      <c r="C23" s="608" t="s">
        <v>414</v>
      </c>
      <c r="D23" s="609" t="s">
        <v>414</v>
      </c>
      <c r="E23" s="596" t="s">
        <v>414</v>
      </c>
      <c r="F23" s="596" t="s">
        <v>414</v>
      </c>
      <c r="G23" s="596" t="s">
        <v>414</v>
      </c>
      <c r="H23" s="597" t="s">
        <v>414</v>
      </c>
      <c r="I23" s="598" t="s">
        <v>414</v>
      </c>
      <c r="J23" s="596" t="s">
        <v>414</v>
      </c>
      <c r="K23" s="596" t="s">
        <v>414</v>
      </c>
      <c r="L23" s="611" t="s">
        <v>414</v>
      </c>
      <c r="M23" s="596" t="s">
        <v>414</v>
      </c>
      <c r="N23" s="599" t="s">
        <v>414</v>
      </c>
      <c r="O23" s="600"/>
    </row>
    <row r="24" spans="1:15" s="583" customFormat="1" ht="20.100000000000001" customHeight="1" x14ac:dyDescent="0.15">
      <c r="A24" s="882"/>
      <c r="B24" s="885"/>
      <c r="C24" s="601" t="s">
        <v>414</v>
      </c>
      <c r="D24" s="602" t="s">
        <v>414</v>
      </c>
      <c r="E24" s="603" t="s">
        <v>414</v>
      </c>
      <c r="F24" s="603" t="s">
        <v>414</v>
      </c>
      <c r="G24" s="603" t="s">
        <v>414</v>
      </c>
      <c r="H24" s="612" t="s">
        <v>414</v>
      </c>
      <c r="I24" s="605" t="s">
        <v>414</v>
      </c>
      <c r="J24" s="603" t="s">
        <v>414</v>
      </c>
      <c r="K24" s="603" t="s">
        <v>414</v>
      </c>
      <c r="L24" s="603" t="s">
        <v>414</v>
      </c>
      <c r="M24" s="603" t="s">
        <v>414</v>
      </c>
      <c r="N24" s="606" t="s">
        <v>414</v>
      </c>
      <c r="O24" s="607"/>
    </row>
    <row r="25" spans="1:15" s="583" customFormat="1" ht="20.100000000000001" customHeight="1" x14ac:dyDescent="0.15">
      <c r="A25" s="882"/>
      <c r="B25" s="885"/>
      <c r="C25" s="608" t="s">
        <v>414</v>
      </c>
      <c r="D25" s="609" t="s">
        <v>414</v>
      </c>
      <c r="E25" s="596" t="s">
        <v>414</v>
      </c>
      <c r="F25" s="596" t="s">
        <v>414</v>
      </c>
      <c r="G25" s="596" t="s">
        <v>414</v>
      </c>
      <c r="H25" s="597" t="s">
        <v>414</v>
      </c>
      <c r="I25" s="598" t="s">
        <v>414</v>
      </c>
      <c r="J25" s="596" t="s">
        <v>414</v>
      </c>
      <c r="K25" s="596" t="s">
        <v>414</v>
      </c>
      <c r="L25" s="611" t="s">
        <v>414</v>
      </c>
      <c r="M25" s="596" t="s">
        <v>414</v>
      </c>
      <c r="N25" s="599" t="s">
        <v>414</v>
      </c>
      <c r="O25" s="600"/>
    </row>
    <row r="26" spans="1:15" s="583" customFormat="1" ht="20.100000000000001" customHeight="1" x14ac:dyDescent="0.15">
      <c r="A26" s="882"/>
      <c r="B26" s="885"/>
      <c r="C26" s="601" t="s">
        <v>414</v>
      </c>
      <c r="D26" s="602" t="s">
        <v>414</v>
      </c>
      <c r="E26" s="603" t="s">
        <v>414</v>
      </c>
      <c r="F26" s="603" t="s">
        <v>414</v>
      </c>
      <c r="G26" s="603" t="s">
        <v>414</v>
      </c>
      <c r="H26" s="612" t="s">
        <v>414</v>
      </c>
      <c r="I26" s="605" t="s">
        <v>414</v>
      </c>
      <c r="J26" s="603" t="s">
        <v>414</v>
      </c>
      <c r="K26" s="603" t="s">
        <v>414</v>
      </c>
      <c r="L26" s="603" t="s">
        <v>414</v>
      </c>
      <c r="M26" s="603" t="s">
        <v>414</v>
      </c>
      <c r="N26" s="606" t="s">
        <v>414</v>
      </c>
      <c r="O26" s="607"/>
    </row>
    <row r="27" spans="1:15" s="583" customFormat="1" ht="20.100000000000001" customHeight="1" x14ac:dyDescent="0.15">
      <c r="A27" s="882"/>
      <c r="B27" s="885"/>
      <c r="C27" s="608" t="s">
        <v>414</v>
      </c>
      <c r="D27" s="609" t="s">
        <v>414</v>
      </c>
      <c r="E27" s="596" t="s">
        <v>414</v>
      </c>
      <c r="F27" s="596" t="s">
        <v>414</v>
      </c>
      <c r="G27" s="596" t="s">
        <v>414</v>
      </c>
      <c r="H27" s="597" t="s">
        <v>414</v>
      </c>
      <c r="I27" s="598" t="s">
        <v>414</v>
      </c>
      <c r="J27" s="596" t="s">
        <v>414</v>
      </c>
      <c r="K27" s="596" t="s">
        <v>414</v>
      </c>
      <c r="L27" s="611" t="s">
        <v>414</v>
      </c>
      <c r="M27" s="596" t="s">
        <v>414</v>
      </c>
      <c r="N27" s="599" t="s">
        <v>414</v>
      </c>
      <c r="O27" s="600"/>
    </row>
    <row r="28" spans="1:15" s="583" customFormat="1" ht="20.100000000000001" customHeight="1" x14ac:dyDescent="0.15">
      <c r="A28" s="882"/>
      <c r="B28" s="885"/>
      <c r="C28" s="601" t="s">
        <v>414</v>
      </c>
      <c r="D28" s="602" t="s">
        <v>414</v>
      </c>
      <c r="E28" s="603" t="s">
        <v>414</v>
      </c>
      <c r="F28" s="603" t="s">
        <v>414</v>
      </c>
      <c r="G28" s="603" t="s">
        <v>414</v>
      </c>
      <c r="H28" s="612" t="s">
        <v>414</v>
      </c>
      <c r="I28" s="605" t="s">
        <v>414</v>
      </c>
      <c r="J28" s="603" t="s">
        <v>414</v>
      </c>
      <c r="K28" s="603" t="s">
        <v>414</v>
      </c>
      <c r="L28" s="603" t="s">
        <v>414</v>
      </c>
      <c r="M28" s="603" t="s">
        <v>414</v>
      </c>
      <c r="N28" s="606" t="s">
        <v>414</v>
      </c>
      <c r="O28" s="607"/>
    </row>
    <row r="29" spans="1:15" s="583" customFormat="1" ht="20.100000000000001" customHeight="1" x14ac:dyDescent="0.15">
      <c r="A29" s="882"/>
      <c r="B29" s="885"/>
      <c r="C29" s="608" t="s">
        <v>414</v>
      </c>
      <c r="D29" s="609" t="s">
        <v>414</v>
      </c>
      <c r="E29" s="596" t="s">
        <v>414</v>
      </c>
      <c r="F29" s="596" t="s">
        <v>414</v>
      </c>
      <c r="G29" s="596" t="s">
        <v>414</v>
      </c>
      <c r="H29" s="597" t="s">
        <v>414</v>
      </c>
      <c r="I29" s="598" t="s">
        <v>414</v>
      </c>
      <c r="J29" s="596" t="s">
        <v>414</v>
      </c>
      <c r="K29" s="596" t="s">
        <v>414</v>
      </c>
      <c r="L29" s="611" t="s">
        <v>414</v>
      </c>
      <c r="M29" s="596" t="s">
        <v>414</v>
      </c>
      <c r="N29" s="599" t="s">
        <v>414</v>
      </c>
      <c r="O29" s="600"/>
    </row>
    <row r="30" spans="1:15" s="583" customFormat="1" ht="20.100000000000001" customHeight="1" x14ac:dyDescent="0.15">
      <c r="A30" s="882"/>
      <c r="B30" s="885"/>
      <c r="C30" s="601" t="s">
        <v>414</v>
      </c>
      <c r="D30" s="602" t="s">
        <v>414</v>
      </c>
      <c r="E30" s="603" t="s">
        <v>414</v>
      </c>
      <c r="F30" s="603" t="s">
        <v>414</v>
      </c>
      <c r="G30" s="603" t="s">
        <v>414</v>
      </c>
      <c r="H30" s="612" t="s">
        <v>414</v>
      </c>
      <c r="I30" s="605" t="s">
        <v>414</v>
      </c>
      <c r="J30" s="603" t="s">
        <v>414</v>
      </c>
      <c r="K30" s="603" t="s">
        <v>414</v>
      </c>
      <c r="L30" s="603" t="s">
        <v>414</v>
      </c>
      <c r="M30" s="603" t="s">
        <v>414</v>
      </c>
      <c r="N30" s="606" t="s">
        <v>414</v>
      </c>
      <c r="O30" s="607"/>
    </row>
    <row r="31" spans="1:15" s="583" customFormat="1" ht="20.100000000000001" customHeight="1" x14ac:dyDescent="0.15">
      <c r="A31" s="882"/>
      <c r="B31" s="885"/>
      <c r="C31" s="608" t="s">
        <v>414</v>
      </c>
      <c r="D31" s="609" t="s">
        <v>414</v>
      </c>
      <c r="E31" s="596" t="s">
        <v>414</v>
      </c>
      <c r="F31" s="596" t="s">
        <v>414</v>
      </c>
      <c r="G31" s="596" t="s">
        <v>414</v>
      </c>
      <c r="H31" s="597" t="s">
        <v>414</v>
      </c>
      <c r="I31" s="598" t="s">
        <v>414</v>
      </c>
      <c r="J31" s="596" t="s">
        <v>414</v>
      </c>
      <c r="K31" s="596" t="s">
        <v>414</v>
      </c>
      <c r="L31" s="611" t="s">
        <v>414</v>
      </c>
      <c r="M31" s="596" t="s">
        <v>414</v>
      </c>
      <c r="N31" s="599" t="s">
        <v>414</v>
      </c>
      <c r="O31" s="600"/>
    </row>
    <row r="32" spans="1:15" s="583" customFormat="1" ht="20.100000000000001" customHeight="1" x14ac:dyDescent="0.15">
      <c r="A32" s="882"/>
      <c r="B32" s="885"/>
      <c r="C32" s="613" t="s">
        <v>414</v>
      </c>
      <c r="D32" s="614" t="s">
        <v>414</v>
      </c>
      <c r="E32" s="615" t="s">
        <v>414</v>
      </c>
      <c r="F32" s="615" t="s">
        <v>414</v>
      </c>
      <c r="G32" s="615" t="s">
        <v>414</v>
      </c>
      <c r="H32" s="616" t="s">
        <v>414</v>
      </c>
      <c r="I32" s="617" t="s">
        <v>414</v>
      </c>
      <c r="J32" s="615" t="s">
        <v>414</v>
      </c>
      <c r="K32" s="615" t="s">
        <v>414</v>
      </c>
      <c r="L32" s="618" t="s">
        <v>414</v>
      </c>
      <c r="M32" s="615" t="s">
        <v>414</v>
      </c>
      <c r="N32" s="619" t="s">
        <v>414</v>
      </c>
      <c r="O32" s="620"/>
    </row>
    <row r="33" spans="1:15" s="583" customFormat="1" ht="20.100000000000001" customHeight="1" x14ac:dyDescent="0.15">
      <c r="A33" s="882"/>
      <c r="B33" s="886"/>
      <c r="C33" s="613" t="s">
        <v>414</v>
      </c>
      <c r="D33" s="614" t="s">
        <v>414</v>
      </c>
      <c r="E33" s="615" t="s">
        <v>414</v>
      </c>
      <c r="F33" s="615" t="s">
        <v>414</v>
      </c>
      <c r="G33" s="615" t="s">
        <v>414</v>
      </c>
      <c r="H33" s="616" t="s">
        <v>414</v>
      </c>
      <c r="I33" s="617" t="s">
        <v>414</v>
      </c>
      <c r="J33" s="615" t="s">
        <v>414</v>
      </c>
      <c r="K33" s="615" t="s">
        <v>414</v>
      </c>
      <c r="L33" s="618" t="s">
        <v>414</v>
      </c>
      <c r="M33" s="615" t="s">
        <v>414</v>
      </c>
      <c r="N33" s="619" t="s">
        <v>414</v>
      </c>
      <c r="O33" s="620"/>
    </row>
    <row r="34" spans="1:15" s="625" customFormat="1" ht="21.75" customHeight="1" thickBot="1" x14ac:dyDescent="0.2">
      <c r="A34" s="883"/>
      <c r="B34" s="621" t="s">
        <v>399</v>
      </c>
      <c r="C34" s="622">
        <v>873</v>
      </c>
      <c r="D34" s="622">
        <v>1302</v>
      </c>
      <c r="E34" s="622">
        <v>1333</v>
      </c>
      <c r="F34" s="622">
        <v>1271</v>
      </c>
      <c r="G34" s="622">
        <v>1610</v>
      </c>
      <c r="H34" s="622">
        <v>1363</v>
      </c>
      <c r="I34" s="622">
        <v>920</v>
      </c>
      <c r="J34" s="622">
        <v>755</v>
      </c>
      <c r="K34" s="623">
        <v>603</v>
      </c>
      <c r="L34" s="623">
        <v>599</v>
      </c>
      <c r="M34" s="623">
        <v>593</v>
      </c>
      <c r="N34" s="623">
        <v>567</v>
      </c>
      <c r="O34" s="624">
        <f>SUM(C34:N34)</f>
        <v>11789</v>
      </c>
    </row>
    <row r="35" spans="1:15" s="627" customFormat="1" ht="20.100000000000001" customHeight="1" x14ac:dyDescent="0.15">
      <c r="A35" s="900" t="s">
        <v>448</v>
      </c>
      <c r="B35" s="889" t="s">
        <v>401</v>
      </c>
      <c r="C35" s="589" t="s">
        <v>458</v>
      </c>
      <c r="D35" s="590" t="s">
        <v>414</v>
      </c>
      <c r="E35" s="590" t="s">
        <v>414</v>
      </c>
      <c r="F35" s="590" t="s">
        <v>414</v>
      </c>
      <c r="G35" s="590" t="s">
        <v>414</v>
      </c>
      <c r="H35" s="591" t="s">
        <v>391</v>
      </c>
      <c r="I35" s="592" t="s">
        <v>414</v>
      </c>
      <c r="J35" s="590" t="s">
        <v>459</v>
      </c>
      <c r="K35" s="590" t="s">
        <v>414</v>
      </c>
      <c r="L35" s="590" t="s">
        <v>461</v>
      </c>
      <c r="M35" s="590" t="s">
        <v>462</v>
      </c>
      <c r="N35" s="593" t="s">
        <v>413</v>
      </c>
      <c r="O35" s="626"/>
    </row>
    <row r="36" spans="1:15" s="627" customFormat="1" ht="20.100000000000001" customHeight="1" x14ac:dyDescent="0.15">
      <c r="A36" s="901"/>
      <c r="B36" s="890"/>
      <c r="C36" s="595">
        <v>355</v>
      </c>
      <c r="D36" s="596" t="s">
        <v>414</v>
      </c>
      <c r="E36" s="596" t="s">
        <v>414</v>
      </c>
      <c r="F36" s="596" t="s">
        <v>414</v>
      </c>
      <c r="G36" s="596" t="s">
        <v>414</v>
      </c>
      <c r="H36" s="597">
        <v>124</v>
      </c>
      <c r="I36" s="598" t="s">
        <v>414</v>
      </c>
      <c r="J36" s="596">
        <v>438</v>
      </c>
      <c r="K36" s="596" t="s">
        <v>414</v>
      </c>
      <c r="L36" s="596">
        <v>1198</v>
      </c>
      <c r="M36" s="596">
        <v>90</v>
      </c>
      <c r="N36" s="599">
        <v>831</v>
      </c>
      <c r="O36" s="628"/>
    </row>
    <row r="37" spans="1:15" s="627" customFormat="1" ht="20.100000000000001" customHeight="1" x14ac:dyDescent="0.15">
      <c r="A37" s="901"/>
      <c r="B37" s="890"/>
      <c r="C37" s="601"/>
      <c r="D37" s="602"/>
      <c r="E37" s="603"/>
      <c r="F37" s="603"/>
      <c r="G37" s="603"/>
      <c r="H37" s="612" t="s">
        <v>460</v>
      </c>
      <c r="I37" s="605" t="s">
        <v>414</v>
      </c>
      <c r="J37" s="603" t="s">
        <v>414</v>
      </c>
      <c r="K37" s="603" t="s">
        <v>414</v>
      </c>
      <c r="L37" s="603" t="s">
        <v>414</v>
      </c>
      <c r="M37" s="603" t="s">
        <v>463</v>
      </c>
      <c r="N37" s="606" t="s">
        <v>414</v>
      </c>
      <c r="O37" s="629"/>
    </row>
    <row r="38" spans="1:15" s="627" customFormat="1" ht="20.100000000000001" customHeight="1" x14ac:dyDescent="0.15">
      <c r="A38" s="901"/>
      <c r="B38" s="890"/>
      <c r="C38" s="608"/>
      <c r="D38" s="609"/>
      <c r="E38" s="596"/>
      <c r="F38" s="596"/>
      <c r="G38" s="596"/>
      <c r="H38" s="597">
        <v>1740</v>
      </c>
      <c r="I38" s="598" t="s">
        <v>414</v>
      </c>
      <c r="J38" s="596" t="s">
        <v>414</v>
      </c>
      <c r="K38" s="596" t="s">
        <v>414</v>
      </c>
      <c r="L38" s="611" t="s">
        <v>414</v>
      </c>
      <c r="M38" s="596">
        <v>272</v>
      </c>
      <c r="N38" s="599" t="s">
        <v>414</v>
      </c>
      <c r="O38" s="628"/>
    </row>
    <row r="39" spans="1:15" s="627" customFormat="1" ht="20.100000000000001" customHeight="1" x14ac:dyDescent="0.15">
      <c r="A39" s="901"/>
      <c r="B39" s="890"/>
      <c r="C39" s="601"/>
      <c r="D39" s="602"/>
      <c r="E39" s="603"/>
      <c r="F39" s="603"/>
      <c r="G39" s="603"/>
      <c r="H39" s="612"/>
      <c r="I39" s="605" t="s">
        <v>414</v>
      </c>
      <c r="J39" s="603" t="s">
        <v>414</v>
      </c>
      <c r="K39" s="603" t="s">
        <v>414</v>
      </c>
      <c r="L39" s="603" t="s">
        <v>414</v>
      </c>
      <c r="M39" s="603" t="s">
        <v>414</v>
      </c>
      <c r="N39" s="606" t="s">
        <v>414</v>
      </c>
      <c r="O39" s="629"/>
    </row>
    <row r="40" spans="1:15" s="627" customFormat="1" ht="20.100000000000001" customHeight="1" x14ac:dyDescent="0.15">
      <c r="A40" s="901"/>
      <c r="B40" s="890"/>
      <c r="C40" s="608"/>
      <c r="D40" s="609"/>
      <c r="E40" s="596"/>
      <c r="F40" s="596"/>
      <c r="G40" s="596"/>
      <c r="H40" s="597"/>
      <c r="I40" s="598" t="s">
        <v>414</v>
      </c>
      <c r="J40" s="596" t="s">
        <v>414</v>
      </c>
      <c r="K40" s="596" t="s">
        <v>414</v>
      </c>
      <c r="L40" s="611" t="s">
        <v>414</v>
      </c>
      <c r="M40" s="596" t="s">
        <v>414</v>
      </c>
      <c r="N40" s="599" t="s">
        <v>414</v>
      </c>
      <c r="O40" s="628"/>
    </row>
    <row r="41" spans="1:15" s="627" customFormat="1" ht="20.100000000000001" customHeight="1" x14ac:dyDescent="0.15">
      <c r="A41" s="901"/>
      <c r="B41" s="890"/>
      <c r="C41" s="601"/>
      <c r="D41" s="602"/>
      <c r="E41" s="603"/>
      <c r="F41" s="603"/>
      <c r="G41" s="603"/>
      <c r="H41" s="612"/>
      <c r="I41" s="605" t="s">
        <v>414</v>
      </c>
      <c r="J41" s="603" t="s">
        <v>414</v>
      </c>
      <c r="K41" s="603" t="s">
        <v>414</v>
      </c>
      <c r="L41" s="603" t="s">
        <v>414</v>
      </c>
      <c r="M41" s="603" t="s">
        <v>414</v>
      </c>
      <c r="N41" s="630" t="s">
        <v>414</v>
      </c>
      <c r="O41" s="629"/>
    </row>
    <row r="42" spans="1:15" s="627" customFormat="1" ht="20.100000000000001" customHeight="1" x14ac:dyDescent="0.15">
      <c r="A42" s="901"/>
      <c r="B42" s="890"/>
      <c r="C42" s="608"/>
      <c r="D42" s="609"/>
      <c r="E42" s="596"/>
      <c r="F42" s="596"/>
      <c r="G42" s="596"/>
      <c r="H42" s="597"/>
      <c r="I42" s="598" t="s">
        <v>414</v>
      </c>
      <c r="J42" s="596" t="s">
        <v>414</v>
      </c>
      <c r="K42" s="596" t="s">
        <v>414</v>
      </c>
      <c r="L42" s="611" t="s">
        <v>414</v>
      </c>
      <c r="M42" s="596" t="s">
        <v>414</v>
      </c>
      <c r="N42" s="631" t="s">
        <v>414</v>
      </c>
      <c r="O42" s="628"/>
    </row>
    <row r="43" spans="1:15" s="627" customFormat="1" ht="20.100000000000001" customHeight="1" x14ac:dyDescent="0.15">
      <c r="A43" s="901"/>
      <c r="B43" s="890"/>
      <c r="C43" s="601" t="s">
        <v>414</v>
      </c>
      <c r="D43" s="602" t="s">
        <v>414</v>
      </c>
      <c r="E43" s="603" t="s">
        <v>414</v>
      </c>
      <c r="F43" s="603" t="s">
        <v>414</v>
      </c>
      <c r="G43" s="603" t="s">
        <v>414</v>
      </c>
      <c r="H43" s="612" t="s">
        <v>414</v>
      </c>
      <c r="I43" s="605" t="s">
        <v>414</v>
      </c>
      <c r="J43" s="603" t="s">
        <v>414</v>
      </c>
      <c r="K43" s="603" t="s">
        <v>414</v>
      </c>
      <c r="L43" s="603" t="s">
        <v>414</v>
      </c>
      <c r="M43" s="603" t="s">
        <v>414</v>
      </c>
      <c r="N43" s="606" t="s">
        <v>414</v>
      </c>
      <c r="O43" s="629"/>
    </row>
    <row r="44" spans="1:15" s="627" customFormat="1" ht="20.100000000000001" customHeight="1" x14ac:dyDescent="0.15">
      <c r="A44" s="901"/>
      <c r="B44" s="890"/>
      <c r="C44" s="608" t="s">
        <v>414</v>
      </c>
      <c r="D44" s="609" t="s">
        <v>414</v>
      </c>
      <c r="E44" s="596" t="s">
        <v>414</v>
      </c>
      <c r="F44" s="596" t="s">
        <v>414</v>
      </c>
      <c r="G44" s="596"/>
      <c r="H44" s="597" t="s">
        <v>414</v>
      </c>
      <c r="I44" s="598" t="s">
        <v>414</v>
      </c>
      <c r="J44" s="596" t="s">
        <v>414</v>
      </c>
      <c r="K44" s="596" t="s">
        <v>414</v>
      </c>
      <c r="L44" s="611" t="s">
        <v>414</v>
      </c>
      <c r="M44" s="596" t="s">
        <v>414</v>
      </c>
      <c r="N44" s="599" t="s">
        <v>414</v>
      </c>
      <c r="O44" s="628"/>
    </row>
    <row r="45" spans="1:15" s="627" customFormat="1" ht="20.100000000000001" customHeight="1" x14ac:dyDescent="0.15">
      <c r="A45" s="901"/>
      <c r="B45" s="890"/>
      <c r="C45" s="601" t="s">
        <v>414</v>
      </c>
      <c r="D45" s="602" t="s">
        <v>414</v>
      </c>
      <c r="E45" s="603" t="s">
        <v>414</v>
      </c>
      <c r="F45" s="603" t="s">
        <v>414</v>
      </c>
      <c r="G45" s="603" t="s">
        <v>414</v>
      </c>
      <c r="H45" s="612" t="s">
        <v>414</v>
      </c>
      <c r="I45" s="605" t="s">
        <v>414</v>
      </c>
      <c r="J45" s="603" t="s">
        <v>414</v>
      </c>
      <c r="K45" s="603" t="s">
        <v>414</v>
      </c>
      <c r="L45" s="603" t="s">
        <v>414</v>
      </c>
      <c r="M45" s="603" t="s">
        <v>414</v>
      </c>
      <c r="N45" s="606" t="s">
        <v>414</v>
      </c>
      <c r="O45" s="629"/>
    </row>
    <row r="46" spans="1:15" s="627" customFormat="1" ht="20.100000000000001" customHeight="1" x14ac:dyDescent="0.15">
      <c r="A46" s="901"/>
      <c r="B46" s="890"/>
      <c r="C46" s="608" t="s">
        <v>414</v>
      </c>
      <c r="D46" s="609" t="s">
        <v>414</v>
      </c>
      <c r="E46" s="596" t="s">
        <v>414</v>
      </c>
      <c r="F46" s="596" t="s">
        <v>414</v>
      </c>
      <c r="G46" s="596" t="s">
        <v>414</v>
      </c>
      <c r="H46" s="597" t="s">
        <v>414</v>
      </c>
      <c r="I46" s="598" t="s">
        <v>414</v>
      </c>
      <c r="J46" s="596" t="s">
        <v>414</v>
      </c>
      <c r="K46" s="596" t="s">
        <v>414</v>
      </c>
      <c r="L46" s="611" t="s">
        <v>414</v>
      </c>
      <c r="M46" s="596" t="s">
        <v>414</v>
      </c>
      <c r="N46" s="599" t="s">
        <v>414</v>
      </c>
      <c r="O46" s="628"/>
    </row>
    <row r="47" spans="1:15" s="627" customFormat="1" ht="20.100000000000001" customHeight="1" x14ac:dyDescent="0.15">
      <c r="A47" s="901"/>
      <c r="B47" s="890"/>
      <c r="C47" s="601" t="s">
        <v>414</v>
      </c>
      <c r="D47" s="602" t="s">
        <v>414</v>
      </c>
      <c r="E47" s="603" t="s">
        <v>414</v>
      </c>
      <c r="F47" s="603" t="s">
        <v>414</v>
      </c>
      <c r="G47" s="603" t="s">
        <v>414</v>
      </c>
      <c r="H47" s="612" t="s">
        <v>414</v>
      </c>
      <c r="I47" s="605" t="s">
        <v>414</v>
      </c>
      <c r="J47" s="603" t="s">
        <v>414</v>
      </c>
      <c r="K47" s="603" t="s">
        <v>414</v>
      </c>
      <c r="L47" s="603" t="s">
        <v>414</v>
      </c>
      <c r="M47" s="603" t="s">
        <v>414</v>
      </c>
      <c r="N47" s="606" t="s">
        <v>414</v>
      </c>
      <c r="O47" s="629"/>
    </row>
    <row r="48" spans="1:15" s="627" customFormat="1" ht="20.100000000000001" customHeight="1" x14ac:dyDescent="0.15">
      <c r="A48" s="901"/>
      <c r="B48" s="890"/>
      <c r="C48" s="608" t="s">
        <v>414</v>
      </c>
      <c r="D48" s="609" t="s">
        <v>414</v>
      </c>
      <c r="E48" s="596" t="s">
        <v>414</v>
      </c>
      <c r="F48" s="596" t="s">
        <v>414</v>
      </c>
      <c r="G48" s="596" t="s">
        <v>414</v>
      </c>
      <c r="H48" s="597" t="s">
        <v>414</v>
      </c>
      <c r="I48" s="598" t="s">
        <v>414</v>
      </c>
      <c r="J48" s="596" t="s">
        <v>414</v>
      </c>
      <c r="K48" s="596" t="s">
        <v>414</v>
      </c>
      <c r="L48" s="611" t="s">
        <v>414</v>
      </c>
      <c r="M48" s="596" t="s">
        <v>414</v>
      </c>
      <c r="N48" s="599" t="s">
        <v>414</v>
      </c>
      <c r="O48" s="628"/>
    </row>
    <row r="49" spans="1:15" s="627" customFormat="1" ht="20.100000000000001" customHeight="1" x14ac:dyDescent="0.15">
      <c r="A49" s="901"/>
      <c r="B49" s="890"/>
      <c r="C49" s="601" t="s">
        <v>414</v>
      </c>
      <c r="D49" s="602" t="s">
        <v>414</v>
      </c>
      <c r="E49" s="603" t="s">
        <v>414</v>
      </c>
      <c r="F49" s="603" t="s">
        <v>414</v>
      </c>
      <c r="G49" s="603" t="s">
        <v>414</v>
      </c>
      <c r="H49" s="612" t="s">
        <v>414</v>
      </c>
      <c r="I49" s="605" t="s">
        <v>414</v>
      </c>
      <c r="J49" s="603" t="s">
        <v>414</v>
      </c>
      <c r="K49" s="603" t="s">
        <v>414</v>
      </c>
      <c r="L49" s="603" t="s">
        <v>414</v>
      </c>
      <c r="M49" s="603" t="s">
        <v>414</v>
      </c>
      <c r="N49" s="606" t="s">
        <v>414</v>
      </c>
      <c r="O49" s="629"/>
    </row>
    <row r="50" spans="1:15" s="627" customFormat="1" ht="20.100000000000001" customHeight="1" x14ac:dyDescent="0.15">
      <c r="A50" s="901"/>
      <c r="B50" s="890"/>
      <c r="C50" s="608" t="s">
        <v>414</v>
      </c>
      <c r="D50" s="609" t="s">
        <v>414</v>
      </c>
      <c r="E50" s="596" t="s">
        <v>414</v>
      </c>
      <c r="F50" s="596" t="s">
        <v>414</v>
      </c>
      <c r="G50" s="596" t="s">
        <v>414</v>
      </c>
      <c r="H50" s="597" t="s">
        <v>414</v>
      </c>
      <c r="I50" s="598" t="s">
        <v>414</v>
      </c>
      <c r="J50" s="596" t="s">
        <v>414</v>
      </c>
      <c r="K50" s="596" t="s">
        <v>414</v>
      </c>
      <c r="L50" s="611" t="s">
        <v>414</v>
      </c>
      <c r="M50" s="596" t="s">
        <v>414</v>
      </c>
      <c r="N50" s="599" t="s">
        <v>414</v>
      </c>
      <c r="O50" s="628"/>
    </row>
    <row r="51" spans="1:15" s="627" customFormat="1" ht="20.100000000000001" customHeight="1" x14ac:dyDescent="0.15">
      <c r="A51" s="901"/>
      <c r="B51" s="890"/>
      <c r="C51" s="601" t="s">
        <v>414</v>
      </c>
      <c r="D51" s="602" t="s">
        <v>414</v>
      </c>
      <c r="E51" s="603" t="s">
        <v>414</v>
      </c>
      <c r="F51" s="603" t="s">
        <v>414</v>
      </c>
      <c r="G51" s="603" t="s">
        <v>414</v>
      </c>
      <c r="H51" s="612" t="s">
        <v>414</v>
      </c>
      <c r="I51" s="605" t="s">
        <v>414</v>
      </c>
      <c r="J51" s="603" t="s">
        <v>414</v>
      </c>
      <c r="K51" s="603" t="s">
        <v>414</v>
      </c>
      <c r="L51" s="603" t="s">
        <v>414</v>
      </c>
      <c r="M51" s="603" t="s">
        <v>414</v>
      </c>
      <c r="N51" s="606" t="s">
        <v>414</v>
      </c>
      <c r="O51" s="629"/>
    </row>
    <row r="52" spans="1:15" s="627" customFormat="1" ht="20.100000000000001" customHeight="1" x14ac:dyDescent="0.15">
      <c r="A52" s="901"/>
      <c r="B52" s="890"/>
      <c r="C52" s="608" t="s">
        <v>414</v>
      </c>
      <c r="D52" s="609" t="s">
        <v>414</v>
      </c>
      <c r="E52" s="596" t="s">
        <v>414</v>
      </c>
      <c r="F52" s="596" t="s">
        <v>414</v>
      </c>
      <c r="G52" s="596" t="s">
        <v>414</v>
      </c>
      <c r="H52" s="597" t="s">
        <v>414</v>
      </c>
      <c r="I52" s="598" t="s">
        <v>414</v>
      </c>
      <c r="J52" s="596" t="s">
        <v>414</v>
      </c>
      <c r="K52" s="596" t="s">
        <v>414</v>
      </c>
      <c r="L52" s="611" t="s">
        <v>414</v>
      </c>
      <c r="M52" s="596" t="s">
        <v>414</v>
      </c>
      <c r="N52" s="599" t="s">
        <v>414</v>
      </c>
      <c r="O52" s="628"/>
    </row>
    <row r="53" spans="1:15" s="627" customFormat="1" ht="20.100000000000001" customHeight="1" x14ac:dyDescent="0.15">
      <c r="A53" s="901"/>
      <c r="B53" s="890"/>
      <c r="C53" s="601" t="s">
        <v>414</v>
      </c>
      <c r="D53" s="602" t="s">
        <v>414</v>
      </c>
      <c r="E53" s="603" t="s">
        <v>414</v>
      </c>
      <c r="F53" s="603" t="s">
        <v>414</v>
      </c>
      <c r="G53" s="603" t="s">
        <v>414</v>
      </c>
      <c r="H53" s="612" t="s">
        <v>414</v>
      </c>
      <c r="I53" s="605" t="s">
        <v>414</v>
      </c>
      <c r="J53" s="603" t="s">
        <v>414</v>
      </c>
      <c r="K53" s="603" t="s">
        <v>414</v>
      </c>
      <c r="L53" s="603" t="s">
        <v>414</v>
      </c>
      <c r="M53" s="603" t="s">
        <v>414</v>
      </c>
      <c r="N53" s="606" t="s">
        <v>414</v>
      </c>
      <c r="O53" s="629"/>
    </row>
    <row r="54" spans="1:15" s="627" customFormat="1" ht="20.100000000000001" customHeight="1" x14ac:dyDescent="0.15">
      <c r="A54" s="901"/>
      <c r="B54" s="890"/>
      <c r="C54" s="608" t="s">
        <v>414</v>
      </c>
      <c r="D54" s="609" t="s">
        <v>414</v>
      </c>
      <c r="E54" s="596" t="s">
        <v>414</v>
      </c>
      <c r="F54" s="596" t="s">
        <v>414</v>
      </c>
      <c r="G54" s="596" t="s">
        <v>414</v>
      </c>
      <c r="H54" s="597" t="s">
        <v>414</v>
      </c>
      <c r="I54" s="598" t="s">
        <v>414</v>
      </c>
      <c r="J54" s="596" t="s">
        <v>414</v>
      </c>
      <c r="K54" s="596" t="s">
        <v>414</v>
      </c>
      <c r="L54" s="611" t="s">
        <v>414</v>
      </c>
      <c r="M54" s="596" t="s">
        <v>414</v>
      </c>
      <c r="N54" s="599" t="s">
        <v>414</v>
      </c>
      <c r="O54" s="628"/>
    </row>
    <row r="55" spans="1:15" s="627" customFormat="1" ht="20.100000000000001" customHeight="1" x14ac:dyDescent="0.15">
      <c r="A55" s="901"/>
      <c r="B55" s="890"/>
      <c r="C55" s="601" t="s">
        <v>414</v>
      </c>
      <c r="D55" s="602" t="s">
        <v>414</v>
      </c>
      <c r="E55" s="603" t="s">
        <v>414</v>
      </c>
      <c r="F55" s="603" t="s">
        <v>414</v>
      </c>
      <c r="G55" s="603" t="s">
        <v>414</v>
      </c>
      <c r="H55" s="612" t="s">
        <v>414</v>
      </c>
      <c r="I55" s="605" t="s">
        <v>414</v>
      </c>
      <c r="J55" s="603" t="s">
        <v>414</v>
      </c>
      <c r="K55" s="603" t="s">
        <v>414</v>
      </c>
      <c r="L55" s="603" t="s">
        <v>414</v>
      </c>
      <c r="M55" s="603" t="s">
        <v>414</v>
      </c>
      <c r="N55" s="606" t="s">
        <v>414</v>
      </c>
      <c r="O55" s="629"/>
    </row>
    <row r="56" spans="1:15" s="627" customFormat="1" ht="20.100000000000001" customHeight="1" x14ac:dyDescent="0.15">
      <c r="A56" s="901"/>
      <c r="B56" s="890"/>
      <c r="C56" s="608" t="s">
        <v>414</v>
      </c>
      <c r="D56" s="609" t="s">
        <v>414</v>
      </c>
      <c r="E56" s="596" t="s">
        <v>414</v>
      </c>
      <c r="F56" s="596" t="s">
        <v>414</v>
      </c>
      <c r="G56" s="596" t="s">
        <v>414</v>
      </c>
      <c r="H56" s="597" t="s">
        <v>414</v>
      </c>
      <c r="I56" s="598" t="s">
        <v>414</v>
      </c>
      <c r="J56" s="596" t="s">
        <v>414</v>
      </c>
      <c r="K56" s="596" t="s">
        <v>414</v>
      </c>
      <c r="L56" s="611" t="s">
        <v>414</v>
      </c>
      <c r="M56" s="596" t="s">
        <v>414</v>
      </c>
      <c r="N56" s="599" t="s">
        <v>414</v>
      </c>
      <c r="O56" s="628"/>
    </row>
    <row r="57" spans="1:15" s="627" customFormat="1" ht="20.100000000000001" customHeight="1" x14ac:dyDescent="0.15">
      <c r="A57" s="901"/>
      <c r="B57" s="890"/>
      <c r="C57" s="601" t="s">
        <v>414</v>
      </c>
      <c r="D57" s="602" t="s">
        <v>414</v>
      </c>
      <c r="E57" s="603" t="s">
        <v>414</v>
      </c>
      <c r="F57" s="603" t="s">
        <v>414</v>
      </c>
      <c r="G57" s="603" t="s">
        <v>414</v>
      </c>
      <c r="H57" s="612" t="s">
        <v>414</v>
      </c>
      <c r="I57" s="605" t="s">
        <v>414</v>
      </c>
      <c r="J57" s="603" t="s">
        <v>414</v>
      </c>
      <c r="K57" s="603" t="s">
        <v>414</v>
      </c>
      <c r="L57" s="603" t="s">
        <v>414</v>
      </c>
      <c r="M57" s="603" t="s">
        <v>414</v>
      </c>
      <c r="N57" s="606" t="s">
        <v>414</v>
      </c>
      <c r="O57" s="629"/>
    </row>
    <row r="58" spans="1:15" s="627" customFormat="1" ht="20.100000000000001" customHeight="1" x14ac:dyDescent="0.15">
      <c r="A58" s="901"/>
      <c r="B58" s="890"/>
      <c r="C58" s="608" t="s">
        <v>414</v>
      </c>
      <c r="D58" s="609" t="s">
        <v>414</v>
      </c>
      <c r="E58" s="596" t="s">
        <v>414</v>
      </c>
      <c r="F58" s="596" t="s">
        <v>414</v>
      </c>
      <c r="G58" s="596" t="s">
        <v>414</v>
      </c>
      <c r="H58" s="597" t="s">
        <v>414</v>
      </c>
      <c r="I58" s="598" t="s">
        <v>414</v>
      </c>
      <c r="J58" s="596" t="s">
        <v>414</v>
      </c>
      <c r="K58" s="596" t="s">
        <v>414</v>
      </c>
      <c r="L58" s="611" t="s">
        <v>414</v>
      </c>
      <c r="M58" s="596" t="s">
        <v>414</v>
      </c>
      <c r="N58" s="599" t="s">
        <v>414</v>
      </c>
      <c r="O58" s="628"/>
    </row>
    <row r="59" spans="1:15" s="625" customFormat="1" ht="20.100000000000001" customHeight="1" x14ac:dyDescent="0.15">
      <c r="A59" s="901"/>
      <c r="B59" s="890"/>
      <c r="C59" s="601" t="s">
        <v>414</v>
      </c>
      <c r="D59" s="602" t="s">
        <v>414</v>
      </c>
      <c r="E59" s="603" t="s">
        <v>414</v>
      </c>
      <c r="F59" s="603" t="s">
        <v>414</v>
      </c>
      <c r="G59" s="603" t="s">
        <v>414</v>
      </c>
      <c r="H59" s="612" t="s">
        <v>414</v>
      </c>
      <c r="I59" s="605" t="s">
        <v>414</v>
      </c>
      <c r="J59" s="603" t="s">
        <v>414</v>
      </c>
      <c r="K59" s="603" t="s">
        <v>414</v>
      </c>
      <c r="L59" s="603" t="s">
        <v>414</v>
      </c>
      <c r="M59" s="603" t="s">
        <v>414</v>
      </c>
      <c r="N59" s="606" t="s">
        <v>414</v>
      </c>
      <c r="O59" s="632"/>
    </row>
    <row r="60" spans="1:15" s="625" customFormat="1" ht="20.100000000000001" customHeight="1" x14ac:dyDescent="0.15">
      <c r="A60" s="901"/>
      <c r="B60" s="890"/>
      <c r="C60" s="608" t="s">
        <v>414</v>
      </c>
      <c r="D60" s="609" t="s">
        <v>414</v>
      </c>
      <c r="E60" s="596" t="s">
        <v>414</v>
      </c>
      <c r="F60" s="596" t="s">
        <v>414</v>
      </c>
      <c r="G60" s="596" t="s">
        <v>414</v>
      </c>
      <c r="H60" s="597" t="s">
        <v>414</v>
      </c>
      <c r="I60" s="598" t="s">
        <v>414</v>
      </c>
      <c r="J60" s="596" t="s">
        <v>414</v>
      </c>
      <c r="K60" s="596" t="s">
        <v>414</v>
      </c>
      <c r="L60" s="611" t="s">
        <v>414</v>
      </c>
      <c r="M60" s="596" t="s">
        <v>414</v>
      </c>
      <c r="N60" s="599" t="s">
        <v>414</v>
      </c>
      <c r="O60" s="633"/>
    </row>
    <row r="61" spans="1:15" s="625" customFormat="1" ht="21" customHeight="1" thickBot="1" x14ac:dyDescent="0.2">
      <c r="A61" s="901"/>
      <c r="B61" s="634" t="s">
        <v>402</v>
      </c>
      <c r="C61" s="635">
        <f>SUM(C35:C60)</f>
        <v>355</v>
      </c>
      <c r="D61" s="636">
        <f t="shared" ref="D61:N61" si="1">SUM(D35:D60)</f>
        <v>0</v>
      </c>
      <c r="E61" s="636">
        <f t="shared" si="1"/>
        <v>0</v>
      </c>
      <c r="F61" s="636">
        <f t="shared" si="1"/>
        <v>0</v>
      </c>
      <c r="G61" s="636">
        <f t="shared" si="1"/>
        <v>0</v>
      </c>
      <c r="H61" s="637">
        <f>SUM(H35:H60)-H38</f>
        <v>124</v>
      </c>
      <c r="I61" s="638">
        <f t="shared" si="1"/>
        <v>0</v>
      </c>
      <c r="J61" s="636">
        <f t="shared" si="1"/>
        <v>438</v>
      </c>
      <c r="K61" s="636">
        <f t="shared" si="1"/>
        <v>0</v>
      </c>
      <c r="L61" s="636">
        <f t="shared" si="1"/>
        <v>1198</v>
      </c>
      <c r="M61" s="636">
        <f t="shared" si="1"/>
        <v>362</v>
      </c>
      <c r="N61" s="639">
        <f t="shared" si="1"/>
        <v>831</v>
      </c>
      <c r="O61" s="640">
        <f>SUM(C61:N61)</f>
        <v>3308</v>
      </c>
    </row>
    <row r="64" spans="1:15" ht="27" x14ac:dyDescent="0.15">
      <c r="A64" s="576" t="s">
        <v>464</v>
      </c>
      <c r="B64" s="576"/>
      <c r="C64" s="576"/>
      <c r="D64" s="576"/>
      <c r="E64" s="576"/>
      <c r="F64" s="576"/>
      <c r="G64" s="576"/>
      <c r="H64" s="576"/>
      <c r="I64" s="576"/>
      <c r="J64" s="576"/>
      <c r="K64" s="576"/>
      <c r="L64" s="576"/>
      <c r="M64" s="576"/>
      <c r="N64" s="576"/>
      <c r="O64" s="576"/>
    </row>
    <row r="65" spans="1:15" ht="27" x14ac:dyDescent="0.15">
      <c r="A65" s="578"/>
      <c r="B65" s="579"/>
      <c r="C65" s="579"/>
      <c r="D65" s="579"/>
      <c r="E65" s="579"/>
      <c r="F65" s="579"/>
      <c r="G65" s="579"/>
      <c r="H65" s="579"/>
      <c r="I65" s="579"/>
      <c r="J65" s="579"/>
      <c r="K65" s="579"/>
      <c r="L65" s="579"/>
      <c r="M65" s="579"/>
      <c r="N65" s="579"/>
      <c r="O65" s="579"/>
    </row>
    <row r="66" spans="1:15" ht="26.25" thickBot="1" x14ac:dyDescent="0.2">
      <c r="A66" s="580" t="s">
        <v>392</v>
      </c>
      <c r="B66" s="581"/>
      <c r="C66" s="582"/>
      <c r="D66" s="581"/>
      <c r="E66" s="581"/>
      <c r="F66" s="581"/>
      <c r="G66" s="581"/>
      <c r="H66" s="581"/>
      <c r="I66" s="581"/>
      <c r="J66" s="581"/>
      <c r="K66" s="581"/>
      <c r="L66" s="581"/>
      <c r="M66" s="581"/>
      <c r="N66" s="581"/>
      <c r="O66" s="581"/>
    </row>
    <row r="67" spans="1:15" x14ac:dyDescent="0.15">
      <c r="A67" s="891" t="s">
        <v>393</v>
      </c>
      <c r="B67" s="892"/>
      <c r="C67" s="895" t="s">
        <v>394</v>
      </c>
      <c r="D67" s="896"/>
      <c r="E67" s="896"/>
      <c r="F67" s="896"/>
      <c r="G67" s="896"/>
      <c r="H67" s="897"/>
      <c r="I67" s="898" t="s">
        <v>395</v>
      </c>
      <c r="J67" s="896"/>
      <c r="K67" s="896"/>
      <c r="L67" s="896"/>
      <c r="M67" s="896"/>
      <c r="N67" s="899"/>
      <c r="O67" s="879" t="s">
        <v>396</v>
      </c>
    </row>
    <row r="68" spans="1:15" ht="15" thickBot="1" x14ac:dyDescent="0.2">
      <c r="A68" s="893"/>
      <c r="B68" s="894"/>
      <c r="C68" s="584">
        <v>1</v>
      </c>
      <c r="D68" s="585">
        <f>C68+1</f>
        <v>2</v>
      </c>
      <c r="E68" s="585">
        <f t="shared" ref="E68:N68" si="2">D68+1</f>
        <v>3</v>
      </c>
      <c r="F68" s="585">
        <f t="shared" si="2"/>
        <v>4</v>
      </c>
      <c r="G68" s="585">
        <f t="shared" si="2"/>
        <v>5</v>
      </c>
      <c r="H68" s="586">
        <f t="shared" si="2"/>
        <v>6</v>
      </c>
      <c r="I68" s="587">
        <f t="shared" si="2"/>
        <v>7</v>
      </c>
      <c r="J68" s="585">
        <f t="shared" si="2"/>
        <v>8</v>
      </c>
      <c r="K68" s="585">
        <f t="shared" si="2"/>
        <v>9</v>
      </c>
      <c r="L68" s="585">
        <f t="shared" si="2"/>
        <v>10</v>
      </c>
      <c r="M68" s="585">
        <f t="shared" si="2"/>
        <v>11</v>
      </c>
      <c r="N68" s="588">
        <f t="shared" si="2"/>
        <v>12</v>
      </c>
      <c r="O68" s="880"/>
    </row>
    <row r="69" spans="1:15" x14ac:dyDescent="0.15">
      <c r="A69" s="881" t="s">
        <v>397</v>
      </c>
      <c r="B69" s="884" t="s">
        <v>398</v>
      </c>
      <c r="C69" s="589" t="s">
        <v>462</v>
      </c>
      <c r="D69" s="590" t="s">
        <v>414</v>
      </c>
      <c r="E69" s="590" t="s">
        <v>463</v>
      </c>
      <c r="F69" s="590" t="s">
        <v>414</v>
      </c>
      <c r="G69" s="590" t="s">
        <v>414</v>
      </c>
      <c r="H69" s="591" t="s">
        <v>461</v>
      </c>
      <c r="I69" s="592" t="s">
        <v>465</v>
      </c>
      <c r="J69" s="590" t="s">
        <v>414</v>
      </c>
      <c r="K69" s="590" t="s">
        <v>466</v>
      </c>
      <c r="L69" s="590" t="s">
        <v>414</v>
      </c>
      <c r="M69" s="590" t="s">
        <v>414</v>
      </c>
      <c r="N69" s="593" t="s">
        <v>413</v>
      </c>
      <c r="O69" s="594"/>
    </row>
    <row r="70" spans="1:15" x14ac:dyDescent="0.15">
      <c r="A70" s="882"/>
      <c r="B70" s="885"/>
      <c r="C70" s="595">
        <v>90</v>
      </c>
      <c r="D70" s="596" t="s">
        <v>414</v>
      </c>
      <c r="E70" s="596">
        <v>272</v>
      </c>
      <c r="F70" s="596" t="s">
        <v>414</v>
      </c>
      <c r="G70" s="596" t="s">
        <v>414</v>
      </c>
      <c r="H70" s="597">
        <v>1198</v>
      </c>
      <c r="I70" s="598">
        <v>380</v>
      </c>
      <c r="J70" s="596" t="s">
        <v>414</v>
      </c>
      <c r="K70" s="596">
        <v>733</v>
      </c>
      <c r="L70" s="596" t="s">
        <v>414</v>
      </c>
      <c r="M70" s="596" t="s">
        <v>414</v>
      </c>
      <c r="N70" s="599">
        <v>831</v>
      </c>
      <c r="O70" s="600"/>
    </row>
    <row r="71" spans="1:15" x14ac:dyDescent="0.15">
      <c r="A71" s="882"/>
      <c r="B71" s="885"/>
      <c r="C71" s="601" t="s">
        <v>414</v>
      </c>
      <c r="D71" s="602" t="s">
        <v>414</v>
      </c>
      <c r="E71" s="603" t="s">
        <v>414</v>
      </c>
      <c r="F71" s="603" t="s">
        <v>414</v>
      </c>
      <c r="G71" s="603" t="s">
        <v>414</v>
      </c>
      <c r="H71" s="612" t="s">
        <v>467</v>
      </c>
      <c r="I71" s="605" t="s">
        <v>414</v>
      </c>
      <c r="J71" s="603" t="s">
        <v>414</v>
      </c>
      <c r="K71" s="603" t="s">
        <v>414</v>
      </c>
      <c r="L71" s="603" t="s">
        <v>414</v>
      </c>
      <c r="M71" s="603" t="s">
        <v>414</v>
      </c>
      <c r="N71" s="606" t="s">
        <v>415</v>
      </c>
      <c r="O71" s="607"/>
    </row>
    <row r="72" spans="1:15" x14ac:dyDescent="0.15">
      <c r="A72" s="882"/>
      <c r="B72" s="885"/>
      <c r="C72" s="608" t="s">
        <v>414</v>
      </c>
      <c r="D72" s="609" t="s">
        <v>414</v>
      </c>
      <c r="E72" s="596" t="s">
        <v>414</v>
      </c>
      <c r="F72" s="596" t="s">
        <v>414</v>
      </c>
      <c r="G72" s="596" t="s">
        <v>414</v>
      </c>
      <c r="H72" s="597">
        <v>54</v>
      </c>
      <c r="I72" s="598" t="s">
        <v>414</v>
      </c>
      <c r="J72" s="596" t="s">
        <v>414</v>
      </c>
      <c r="K72" s="596" t="s">
        <v>414</v>
      </c>
      <c r="L72" s="611" t="s">
        <v>414</v>
      </c>
      <c r="M72" s="596" t="s">
        <v>414</v>
      </c>
      <c r="N72" s="599">
        <v>695</v>
      </c>
      <c r="O72" s="600"/>
    </row>
    <row r="73" spans="1:15" x14ac:dyDescent="0.15">
      <c r="A73" s="882"/>
      <c r="B73" s="885"/>
      <c r="C73" s="601" t="s">
        <v>414</v>
      </c>
      <c r="D73" s="602" t="s">
        <v>414</v>
      </c>
      <c r="E73" s="603" t="s">
        <v>414</v>
      </c>
      <c r="F73" s="603" t="s">
        <v>414</v>
      </c>
      <c r="G73" s="603" t="s">
        <v>414</v>
      </c>
      <c r="H73" s="612" t="s">
        <v>414</v>
      </c>
      <c r="I73" s="605" t="s">
        <v>414</v>
      </c>
      <c r="J73" s="603" t="s">
        <v>414</v>
      </c>
      <c r="K73" s="603" t="s">
        <v>414</v>
      </c>
      <c r="L73" s="603" t="s">
        <v>414</v>
      </c>
      <c r="M73" s="603" t="s">
        <v>414</v>
      </c>
      <c r="N73" s="606" t="s">
        <v>468</v>
      </c>
      <c r="O73" s="607"/>
    </row>
    <row r="74" spans="1:15" x14ac:dyDescent="0.15">
      <c r="A74" s="882"/>
      <c r="B74" s="885"/>
      <c r="C74" s="608" t="s">
        <v>414</v>
      </c>
      <c r="D74" s="609" t="s">
        <v>414</v>
      </c>
      <c r="E74" s="596" t="s">
        <v>414</v>
      </c>
      <c r="F74" s="596" t="s">
        <v>414</v>
      </c>
      <c r="G74" s="596" t="s">
        <v>414</v>
      </c>
      <c r="H74" s="597" t="s">
        <v>414</v>
      </c>
      <c r="I74" s="598" t="s">
        <v>414</v>
      </c>
      <c r="J74" s="596" t="s">
        <v>414</v>
      </c>
      <c r="K74" s="596" t="s">
        <v>414</v>
      </c>
      <c r="L74" s="611" t="s">
        <v>414</v>
      </c>
      <c r="M74" s="596" t="s">
        <v>414</v>
      </c>
      <c r="N74" s="599">
        <v>509</v>
      </c>
      <c r="O74" s="600"/>
    </row>
    <row r="75" spans="1:15" x14ac:dyDescent="0.15">
      <c r="A75" s="882"/>
      <c r="B75" s="885"/>
      <c r="C75" s="601" t="s">
        <v>414</v>
      </c>
      <c r="D75" s="602" t="s">
        <v>414</v>
      </c>
      <c r="E75" s="603" t="s">
        <v>414</v>
      </c>
      <c r="F75" s="603" t="s">
        <v>414</v>
      </c>
      <c r="G75" s="603" t="s">
        <v>414</v>
      </c>
      <c r="H75" s="612" t="s">
        <v>414</v>
      </c>
      <c r="I75" s="605" t="s">
        <v>414</v>
      </c>
      <c r="J75" s="603" t="s">
        <v>414</v>
      </c>
      <c r="K75" s="603" t="s">
        <v>414</v>
      </c>
      <c r="L75" s="603" t="s">
        <v>414</v>
      </c>
      <c r="M75" s="603" t="s">
        <v>414</v>
      </c>
      <c r="N75" s="606" t="s">
        <v>469</v>
      </c>
      <c r="O75" s="607"/>
    </row>
    <row r="76" spans="1:15" x14ac:dyDescent="0.15">
      <c r="A76" s="882"/>
      <c r="B76" s="885"/>
      <c r="C76" s="608" t="s">
        <v>414</v>
      </c>
      <c r="D76" s="609" t="s">
        <v>414</v>
      </c>
      <c r="E76" s="596" t="s">
        <v>414</v>
      </c>
      <c r="F76" s="596" t="s">
        <v>414</v>
      </c>
      <c r="G76" s="596" t="s">
        <v>414</v>
      </c>
      <c r="H76" s="597" t="s">
        <v>414</v>
      </c>
      <c r="I76" s="598" t="s">
        <v>414</v>
      </c>
      <c r="J76" s="596" t="s">
        <v>414</v>
      </c>
      <c r="K76" s="596" t="s">
        <v>414</v>
      </c>
      <c r="L76" s="611" t="s">
        <v>414</v>
      </c>
      <c r="M76" s="596" t="s">
        <v>414</v>
      </c>
      <c r="N76" s="599">
        <v>310</v>
      </c>
      <c r="O76" s="600"/>
    </row>
    <row r="77" spans="1:15" x14ac:dyDescent="0.15">
      <c r="A77" s="882"/>
      <c r="B77" s="885"/>
      <c r="C77" s="601" t="s">
        <v>414</v>
      </c>
      <c r="D77" s="602" t="s">
        <v>414</v>
      </c>
      <c r="E77" s="603" t="s">
        <v>414</v>
      </c>
      <c r="F77" s="603" t="s">
        <v>414</v>
      </c>
      <c r="G77" s="603" t="s">
        <v>414</v>
      </c>
      <c r="H77" s="612" t="s">
        <v>414</v>
      </c>
      <c r="I77" s="605" t="s">
        <v>414</v>
      </c>
      <c r="J77" s="603" t="s">
        <v>414</v>
      </c>
      <c r="K77" s="603" t="s">
        <v>414</v>
      </c>
      <c r="L77" s="603" t="s">
        <v>414</v>
      </c>
      <c r="M77" s="603" t="s">
        <v>414</v>
      </c>
      <c r="N77" s="606" t="s">
        <v>470</v>
      </c>
      <c r="O77" s="607"/>
    </row>
    <row r="78" spans="1:15" x14ac:dyDescent="0.15">
      <c r="A78" s="882"/>
      <c r="B78" s="885"/>
      <c r="C78" s="608" t="s">
        <v>414</v>
      </c>
      <c r="D78" s="609" t="s">
        <v>414</v>
      </c>
      <c r="E78" s="596" t="s">
        <v>414</v>
      </c>
      <c r="F78" s="596" t="s">
        <v>414</v>
      </c>
      <c r="G78" s="596" t="s">
        <v>414</v>
      </c>
      <c r="H78" s="597" t="s">
        <v>414</v>
      </c>
      <c r="I78" s="598" t="s">
        <v>414</v>
      </c>
      <c r="J78" s="596" t="s">
        <v>414</v>
      </c>
      <c r="K78" s="596" t="s">
        <v>414</v>
      </c>
      <c r="L78" s="611" t="s">
        <v>414</v>
      </c>
      <c r="M78" s="596" t="s">
        <v>414</v>
      </c>
      <c r="N78" s="599">
        <v>137</v>
      </c>
      <c r="O78" s="600"/>
    </row>
    <row r="79" spans="1:15" x14ac:dyDescent="0.15">
      <c r="A79" s="882"/>
      <c r="B79" s="885"/>
      <c r="C79" s="601" t="s">
        <v>414</v>
      </c>
      <c r="D79" s="602" t="s">
        <v>414</v>
      </c>
      <c r="E79" s="603" t="s">
        <v>414</v>
      </c>
      <c r="F79" s="603" t="s">
        <v>414</v>
      </c>
      <c r="G79" s="603" t="s">
        <v>414</v>
      </c>
      <c r="H79" s="612" t="s">
        <v>414</v>
      </c>
      <c r="I79" s="605" t="s">
        <v>414</v>
      </c>
      <c r="J79" s="603" t="s">
        <v>414</v>
      </c>
      <c r="K79" s="603" t="s">
        <v>414</v>
      </c>
      <c r="L79" s="603" t="s">
        <v>414</v>
      </c>
      <c r="M79" s="603" t="s">
        <v>414</v>
      </c>
      <c r="N79" s="606" t="s">
        <v>471</v>
      </c>
      <c r="O79" s="607"/>
    </row>
    <row r="80" spans="1:15" x14ac:dyDescent="0.15">
      <c r="A80" s="882"/>
      <c r="B80" s="885"/>
      <c r="C80" s="608" t="s">
        <v>414</v>
      </c>
      <c r="D80" s="609" t="s">
        <v>414</v>
      </c>
      <c r="E80" s="596" t="s">
        <v>414</v>
      </c>
      <c r="F80" s="596" t="s">
        <v>414</v>
      </c>
      <c r="G80" s="596" t="s">
        <v>414</v>
      </c>
      <c r="H80" s="597" t="s">
        <v>414</v>
      </c>
      <c r="I80" s="598" t="s">
        <v>414</v>
      </c>
      <c r="J80" s="596" t="s">
        <v>414</v>
      </c>
      <c r="K80" s="596" t="s">
        <v>414</v>
      </c>
      <c r="L80" s="611" t="s">
        <v>414</v>
      </c>
      <c r="M80" s="596" t="s">
        <v>414</v>
      </c>
      <c r="N80" s="599">
        <v>176</v>
      </c>
      <c r="O80" s="600"/>
    </row>
    <row r="81" spans="1:15" x14ac:dyDescent="0.15">
      <c r="A81" s="882"/>
      <c r="B81" s="885"/>
      <c r="C81" s="601" t="s">
        <v>414</v>
      </c>
      <c r="D81" s="602" t="s">
        <v>414</v>
      </c>
      <c r="E81" s="603" t="s">
        <v>414</v>
      </c>
      <c r="F81" s="603" t="s">
        <v>414</v>
      </c>
      <c r="G81" s="603" t="s">
        <v>414</v>
      </c>
      <c r="H81" s="612" t="s">
        <v>414</v>
      </c>
      <c r="I81" s="605" t="s">
        <v>414</v>
      </c>
      <c r="J81" s="603" t="s">
        <v>414</v>
      </c>
      <c r="K81" s="603" t="s">
        <v>414</v>
      </c>
      <c r="L81" s="603" t="s">
        <v>414</v>
      </c>
      <c r="M81" s="603" t="s">
        <v>414</v>
      </c>
      <c r="N81" s="606" t="s">
        <v>414</v>
      </c>
      <c r="O81" s="607"/>
    </row>
    <row r="82" spans="1:15" x14ac:dyDescent="0.15">
      <c r="A82" s="882"/>
      <c r="B82" s="885"/>
      <c r="C82" s="608" t="s">
        <v>414</v>
      </c>
      <c r="D82" s="609" t="s">
        <v>414</v>
      </c>
      <c r="E82" s="596" t="s">
        <v>414</v>
      </c>
      <c r="F82" s="596" t="s">
        <v>414</v>
      </c>
      <c r="G82" s="596" t="s">
        <v>414</v>
      </c>
      <c r="H82" s="597" t="s">
        <v>414</v>
      </c>
      <c r="I82" s="598" t="s">
        <v>414</v>
      </c>
      <c r="J82" s="596" t="s">
        <v>414</v>
      </c>
      <c r="K82" s="596" t="s">
        <v>414</v>
      </c>
      <c r="L82" s="611" t="s">
        <v>414</v>
      </c>
      <c r="M82" s="596" t="s">
        <v>414</v>
      </c>
      <c r="N82" s="599" t="s">
        <v>414</v>
      </c>
      <c r="O82" s="600"/>
    </row>
    <row r="83" spans="1:15" x14ac:dyDescent="0.15">
      <c r="A83" s="882"/>
      <c r="B83" s="885"/>
      <c r="C83" s="601" t="s">
        <v>414</v>
      </c>
      <c r="D83" s="602" t="s">
        <v>414</v>
      </c>
      <c r="E83" s="603" t="s">
        <v>414</v>
      </c>
      <c r="F83" s="603" t="s">
        <v>414</v>
      </c>
      <c r="G83" s="603" t="s">
        <v>414</v>
      </c>
      <c r="H83" s="612" t="s">
        <v>414</v>
      </c>
      <c r="I83" s="605" t="s">
        <v>414</v>
      </c>
      <c r="J83" s="603" t="s">
        <v>414</v>
      </c>
      <c r="K83" s="603" t="s">
        <v>414</v>
      </c>
      <c r="L83" s="603" t="s">
        <v>414</v>
      </c>
      <c r="M83" s="603" t="s">
        <v>414</v>
      </c>
      <c r="N83" s="606" t="s">
        <v>414</v>
      </c>
      <c r="O83" s="607"/>
    </row>
    <row r="84" spans="1:15" x14ac:dyDescent="0.15">
      <c r="A84" s="882"/>
      <c r="B84" s="885"/>
      <c r="C84" s="608" t="s">
        <v>414</v>
      </c>
      <c r="D84" s="609" t="s">
        <v>414</v>
      </c>
      <c r="E84" s="596" t="s">
        <v>414</v>
      </c>
      <c r="F84" s="596" t="s">
        <v>414</v>
      </c>
      <c r="G84" s="596" t="s">
        <v>414</v>
      </c>
      <c r="H84" s="597" t="s">
        <v>414</v>
      </c>
      <c r="I84" s="598" t="s">
        <v>414</v>
      </c>
      <c r="J84" s="596" t="s">
        <v>414</v>
      </c>
      <c r="K84" s="596" t="s">
        <v>414</v>
      </c>
      <c r="L84" s="611" t="s">
        <v>414</v>
      </c>
      <c r="M84" s="596" t="s">
        <v>414</v>
      </c>
      <c r="N84" s="599" t="s">
        <v>414</v>
      </c>
      <c r="O84" s="600"/>
    </row>
    <row r="85" spans="1:15" x14ac:dyDescent="0.15">
      <c r="A85" s="882"/>
      <c r="B85" s="885"/>
      <c r="C85" s="601" t="s">
        <v>414</v>
      </c>
      <c r="D85" s="602" t="s">
        <v>414</v>
      </c>
      <c r="E85" s="603" t="s">
        <v>414</v>
      </c>
      <c r="F85" s="603" t="s">
        <v>414</v>
      </c>
      <c r="G85" s="603" t="s">
        <v>414</v>
      </c>
      <c r="H85" s="612" t="s">
        <v>414</v>
      </c>
      <c r="I85" s="605" t="s">
        <v>414</v>
      </c>
      <c r="J85" s="603" t="s">
        <v>414</v>
      </c>
      <c r="K85" s="603" t="s">
        <v>414</v>
      </c>
      <c r="L85" s="603" t="s">
        <v>414</v>
      </c>
      <c r="M85" s="603" t="s">
        <v>414</v>
      </c>
      <c r="N85" s="606" t="s">
        <v>414</v>
      </c>
      <c r="O85" s="607"/>
    </row>
    <row r="86" spans="1:15" x14ac:dyDescent="0.15">
      <c r="A86" s="882"/>
      <c r="B86" s="885"/>
      <c r="C86" s="608" t="s">
        <v>414</v>
      </c>
      <c r="D86" s="609" t="s">
        <v>414</v>
      </c>
      <c r="E86" s="596" t="s">
        <v>414</v>
      </c>
      <c r="F86" s="596" t="s">
        <v>414</v>
      </c>
      <c r="G86" s="596" t="s">
        <v>414</v>
      </c>
      <c r="H86" s="597" t="s">
        <v>414</v>
      </c>
      <c r="I86" s="598" t="s">
        <v>414</v>
      </c>
      <c r="J86" s="596" t="s">
        <v>414</v>
      </c>
      <c r="K86" s="596" t="s">
        <v>414</v>
      </c>
      <c r="L86" s="611" t="s">
        <v>414</v>
      </c>
      <c r="M86" s="596" t="s">
        <v>414</v>
      </c>
      <c r="N86" s="599" t="s">
        <v>414</v>
      </c>
      <c r="O86" s="600"/>
    </row>
    <row r="87" spans="1:15" x14ac:dyDescent="0.15">
      <c r="A87" s="882"/>
      <c r="B87" s="885"/>
      <c r="C87" s="601" t="s">
        <v>414</v>
      </c>
      <c r="D87" s="602" t="s">
        <v>414</v>
      </c>
      <c r="E87" s="603" t="s">
        <v>414</v>
      </c>
      <c r="F87" s="603" t="s">
        <v>414</v>
      </c>
      <c r="G87" s="603" t="s">
        <v>414</v>
      </c>
      <c r="H87" s="612" t="s">
        <v>414</v>
      </c>
      <c r="I87" s="605" t="s">
        <v>414</v>
      </c>
      <c r="J87" s="603" t="s">
        <v>414</v>
      </c>
      <c r="K87" s="603" t="s">
        <v>414</v>
      </c>
      <c r="L87" s="603" t="s">
        <v>414</v>
      </c>
      <c r="M87" s="603" t="s">
        <v>414</v>
      </c>
      <c r="N87" s="606" t="s">
        <v>414</v>
      </c>
      <c r="O87" s="607"/>
    </row>
    <row r="88" spans="1:15" x14ac:dyDescent="0.15">
      <c r="A88" s="882"/>
      <c r="B88" s="885"/>
      <c r="C88" s="608" t="s">
        <v>414</v>
      </c>
      <c r="D88" s="609" t="s">
        <v>414</v>
      </c>
      <c r="E88" s="596" t="s">
        <v>414</v>
      </c>
      <c r="F88" s="596" t="s">
        <v>414</v>
      </c>
      <c r="G88" s="596" t="s">
        <v>414</v>
      </c>
      <c r="H88" s="597" t="s">
        <v>414</v>
      </c>
      <c r="I88" s="598" t="s">
        <v>414</v>
      </c>
      <c r="J88" s="596" t="s">
        <v>414</v>
      </c>
      <c r="K88" s="596" t="s">
        <v>414</v>
      </c>
      <c r="L88" s="611" t="s">
        <v>414</v>
      </c>
      <c r="M88" s="596" t="s">
        <v>414</v>
      </c>
      <c r="N88" s="599" t="s">
        <v>414</v>
      </c>
      <c r="O88" s="600"/>
    </row>
    <row r="89" spans="1:15" x14ac:dyDescent="0.15">
      <c r="A89" s="882"/>
      <c r="B89" s="885"/>
      <c r="C89" s="601" t="s">
        <v>414</v>
      </c>
      <c r="D89" s="602" t="s">
        <v>414</v>
      </c>
      <c r="E89" s="603" t="s">
        <v>414</v>
      </c>
      <c r="F89" s="603" t="s">
        <v>414</v>
      </c>
      <c r="G89" s="603" t="s">
        <v>414</v>
      </c>
      <c r="H89" s="612" t="s">
        <v>414</v>
      </c>
      <c r="I89" s="605" t="s">
        <v>414</v>
      </c>
      <c r="J89" s="603" t="s">
        <v>414</v>
      </c>
      <c r="K89" s="603" t="s">
        <v>414</v>
      </c>
      <c r="L89" s="603" t="s">
        <v>414</v>
      </c>
      <c r="M89" s="603" t="s">
        <v>414</v>
      </c>
      <c r="N89" s="606" t="s">
        <v>414</v>
      </c>
      <c r="O89" s="607"/>
    </row>
    <row r="90" spans="1:15" x14ac:dyDescent="0.15">
      <c r="A90" s="882"/>
      <c r="B90" s="885"/>
      <c r="C90" s="608" t="s">
        <v>414</v>
      </c>
      <c r="D90" s="609" t="s">
        <v>414</v>
      </c>
      <c r="E90" s="596" t="s">
        <v>414</v>
      </c>
      <c r="F90" s="596" t="s">
        <v>414</v>
      </c>
      <c r="G90" s="596" t="s">
        <v>414</v>
      </c>
      <c r="H90" s="597" t="s">
        <v>414</v>
      </c>
      <c r="I90" s="598" t="s">
        <v>414</v>
      </c>
      <c r="J90" s="596" t="s">
        <v>414</v>
      </c>
      <c r="K90" s="596" t="s">
        <v>414</v>
      </c>
      <c r="L90" s="611" t="s">
        <v>414</v>
      </c>
      <c r="M90" s="596" t="s">
        <v>414</v>
      </c>
      <c r="N90" s="599" t="s">
        <v>414</v>
      </c>
      <c r="O90" s="600"/>
    </row>
    <row r="91" spans="1:15" x14ac:dyDescent="0.15">
      <c r="A91" s="882"/>
      <c r="B91" s="885"/>
      <c r="C91" s="601" t="s">
        <v>414</v>
      </c>
      <c r="D91" s="602" t="s">
        <v>414</v>
      </c>
      <c r="E91" s="603" t="s">
        <v>414</v>
      </c>
      <c r="F91" s="603" t="s">
        <v>414</v>
      </c>
      <c r="G91" s="603" t="s">
        <v>414</v>
      </c>
      <c r="H91" s="612" t="s">
        <v>414</v>
      </c>
      <c r="I91" s="605" t="s">
        <v>414</v>
      </c>
      <c r="J91" s="603" t="s">
        <v>414</v>
      </c>
      <c r="K91" s="603" t="s">
        <v>414</v>
      </c>
      <c r="L91" s="603" t="s">
        <v>414</v>
      </c>
      <c r="M91" s="603" t="s">
        <v>414</v>
      </c>
      <c r="N91" s="606" t="s">
        <v>414</v>
      </c>
      <c r="O91" s="607"/>
    </row>
    <row r="92" spans="1:15" x14ac:dyDescent="0.15">
      <c r="A92" s="882"/>
      <c r="B92" s="885"/>
      <c r="C92" s="608" t="s">
        <v>414</v>
      </c>
      <c r="D92" s="609" t="s">
        <v>414</v>
      </c>
      <c r="E92" s="596" t="s">
        <v>414</v>
      </c>
      <c r="F92" s="596" t="s">
        <v>414</v>
      </c>
      <c r="G92" s="596" t="s">
        <v>414</v>
      </c>
      <c r="H92" s="597" t="s">
        <v>414</v>
      </c>
      <c r="I92" s="598" t="s">
        <v>414</v>
      </c>
      <c r="J92" s="596" t="s">
        <v>414</v>
      </c>
      <c r="K92" s="596" t="s">
        <v>414</v>
      </c>
      <c r="L92" s="611" t="s">
        <v>414</v>
      </c>
      <c r="M92" s="596" t="s">
        <v>414</v>
      </c>
      <c r="N92" s="599" t="s">
        <v>414</v>
      </c>
      <c r="O92" s="600"/>
    </row>
    <row r="93" spans="1:15" x14ac:dyDescent="0.15">
      <c r="A93" s="882"/>
      <c r="B93" s="885"/>
      <c r="C93" s="601" t="s">
        <v>414</v>
      </c>
      <c r="D93" s="602" t="s">
        <v>414</v>
      </c>
      <c r="E93" s="603" t="s">
        <v>414</v>
      </c>
      <c r="F93" s="603" t="s">
        <v>414</v>
      </c>
      <c r="G93" s="603" t="s">
        <v>414</v>
      </c>
      <c r="H93" s="612" t="s">
        <v>414</v>
      </c>
      <c r="I93" s="605" t="s">
        <v>414</v>
      </c>
      <c r="J93" s="603" t="s">
        <v>414</v>
      </c>
      <c r="K93" s="603" t="s">
        <v>414</v>
      </c>
      <c r="L93" s="603" t="s">
        <v>414</v>
      </c>
      <c r="M93" s="603" t="s">
        <v>414</v>
      </c>
      <c r="N93" s="606" t="s">
        <v>414</v>
      </c>
      <c r="O93" s="607"/>
    </row>
    <row r="94" spans="1:15" x14ac:dyDescent="0.15">
      <c r="A94" s="882"/>
      <c r="B94" s="885"/>
      <c r="C94" s="608" t="s">
        <v>414</v>
      </c>
      <c r="D94" s="609" t="s">
        <v>414</v>
      </c>
      <c r="E94" s="596" t="s">
        <v>414</v>
      </c>
      <c r="F94" s="596" t="s">
        <v>414</v>
      </c>
      <c r="G94" s="596" t="s">
        <v>414</v>
      </c>
      <c r="H94" s="597" t="s">
        <v>414</v>
      </c>
      <c r="I94" s="598" t="s">
        <v>414</v>
      </c>
      <c r="J94" s="596" t="s">
        <v>414</v>
      </c>
      <c r="K94" s="596" t="s">
        <v>414</v>
      </c>
      <c r="L94" s="611" t="s">
        <v>414</v>
      </c>
      <c r="M94" s="596" t="s">
        <v>414</v>
      </c>
      <c r="N94" s="599" t="s">
        <v>414</v>
      </c>
      <c r="O94" s="600"/>
    </row>
    <row r="95" spans="1:15" x14ac:dyDescent="0.15">
      <c r="A95" s="882"/>
      <c r="B95" s="885"/>
      <c r="C95" s="613" t="s">
        <v>414</v>
      </c>
      <c r="D95" s="614" t="s">
        <v>414</v>
      </c>
      <c r="E95" s="615" t="s">
        <v>414</v>
      </c>
      <c r="F95" s="615" t="s">
        <v>414</v>
      </c>
      <c r="G95" s="615" t="s">
        <v>414</v>
      </c>
      <c r="H95" s="616" t="s">
        <v>414</v>
      </c>
      <c r="I95" s="617" t="s">
        <v>414</v>
      </c>
      <c r="J95" s="615" t="s">
        <v>414</v>
      </c>
      <c r="K95" s="615" t="s">
        <v>414</v>
      </c>
      <c r="L95" s="618" t="s">
        <v>414</v>
      </c>
      <c r="M95" s="615" t="s">
        <v>414</v>
      </c>
      <c r="N95" s="619" t="s">
        <v>414</v>
      </c>
      <c r="O95" s="620"/>
    </row>
    <row r="96" spans="1:15" x14ac:dyDescent="0.15">
      <c r="A96" s="882"/>
      <c r="B96" s="886"/>
      <c r="C96" s="613" t="s">
        <v>414</v>
      </c>
      <c r="D96" s="614" t="s">
        <v>414</v>
      </c>
      <c r="E96" s="615" t="s">
        <v>414</v>
      </c>
      <c r="F96" s="615" t="s">
        <v>414</v>
      </c>
      <c r="G96" s="615" t="s">
        <v>414</v>
      </c>
      <c r="H96" s="616" t="s">
        <v>414</v>
      </c>
      <c r="I96" s="617" t="s">
        <v>414</v>
      </c>
      <c r="J96" s="615" t="s">
        <v>414</v>
      </c>
      <c r="K96" s="615" t="s">
        <v>414</v>
      </c>
      <c r="L96" s="618" t="s">
        <v>414</v>
      </c>
      <c r="M96" s="615" t="s">
        <v>414</v>
      </c>
      <c r="N96" s="619" t="s">
        <v>414</v>
      </c>
      <c r="O96" s="620"/>
    </row>
    <row r="97" spans="1:15" ht="15" thickBot="1" x14ac:dyDescent="0.2">
      <c r="A97" s="883"/>
      <c r="B97" s="621" t="s">
        <v>399</v>
      </c>
      <c r="C97" s="719">
        <v>707</v>
      </c>
      <c r="D97" s="720">
        <v>662</v>
      </c>
      <c r="E97" s="720">
        <v>645</v>
      </c>
      <c r="F97" s="720">
        <v>629</v>
      </c>
      <c r="G97" s="720">
        <v>609</v>
      </c>
      <c r="H97" s="721">
        <v>674</v>
      </c>
      <c r="I97" s="722">
        <v>779</v>
      </c>
      <c r="J97" s="720">
        <v>749</v>
      </c>
      <c r="K97" s="720">
        <v>581</v>
      </c>
      <c r="L97" s="720">
        <v>540</v>
      </c>
      <c r="M97" s="720">
        <v>522</v>
      </c>
      <c r="N97" s="723">
        <v>700</v>
      </c>
      <c r="O97" s="624">
        <f>SUM(C97:N97)</f>
        <v>7797</v>
      </c>
    </row>
    <row r="98" spans="1:15" x14ac:dyDescent="0.15">
      <c r="A98" s="887" t="s">
        <v>400</v>
      </c>
      <c r="B98" s="889" t="s">
        <v>401</v>
      </c>
      <c r="C98" s="589" t="s">
        <v>414</v>
      </c>
      <c r="D98" s="590" t="s">
        <v>465</v>
      </c>
      <c r="E98" s="590" t="s">
        <v>467</v>
      </c>
      <c r="F98" s="590" t="s">
        <v>414</v>
      </c>
      <c r="G98" s="590" t="s">
        <v>415</v>
      </c>
      <c r="H98" s="591" t="s">
        <v>472</v>
      </c>
      <c r="I98" s="592" t="s">
        <v>414</v>
      </c>
      <c r="J98" s="590" t="s">
        <v>414</v>
      </c>
      <c r="K98" s="590" t="s">
        <v>414</v>
      </c>
      <c r="L98" s="724" t="s">
        <v>473</v>
      </c>
      <c r="M98" s="590" t="s">
        <v>469</v>
      </c>
      <c r="N98" s="593" t="s">
        <v>414</v>
      </c>
      <c r="O98" s="626"/>
    </row>
    <row r="99" spans="1:15" x14ac:dyDescent="0.15">
      <c r="A99" s="888"/>
      <c r="B99" s="890"/>
      <c r="C99" s="595" t="s">
        <v>414</v>
      </c>
      <c r="D99" s="596">
        <v>380</v>
      </c>
      <c r="E99" s="596">
        <v>54</v>
      </c>
      <c r="F99" s="596" t="s">
        <v>414</v>
      </c>
      <c r="G99" s="596">
        <v>695</v>
      </c>
      <c r="H99" s="597">
        <v>863</v>
      </c>
      <c r="I99" s="598" t="s">
        <v>414</v>
      </c>
      <c r="J99" s="596" t="s">
        <v>414</v>
      </c>
      <c r="K99" s="596" t="s">
        <v>414</v>
      </c>
      <c r="L99" s="725">
        <v>1498</v>
      </c>
      <c r="M99" s="596">
        <v>310</v>
      </c>
      <c r="N99" s="599" t="s">
        <v>414</v>
      </c>
      <c r="O99" s="628"/>
    </row>
    <row r="100" spans="1:15" x14ac:dyDescent="0.15">
      <c r="A100" s="888"/>
      <c r="B100" s="890"/>
      <c r="C100" s="601" t="s">
        <v>414</v>
      </c>
      <c r="D100" s="602" t="s">
        <v>414</v>
      </c>
      <c r="E100" s="603" t="s">
        <v>466</v>
      </c>
      <c r="F100" s="603" t="s">
        <v>414</v>
      </c>
      <c r="G100" s="603" t="s">
        <v>468</v>
      </c>
      <c r="H100" s="612" t="s">
        <v>414</v>
      </c>
      <c r="I100" s="605" t="s">
        <v>414</v>
      </c>
      <c r="J100" s="603" t="s">
        <v>414</v>
      </c>
      <c r="K100" s="603" t="s">
        <v>414</v>
      </c>
      <c r="L100" s="603" t="s">
        <v>414</v>
      </c>
      <c r="M100" s="603" t="s">
        <v>470</v>
      </c>
      <c r="N100" s="606" t="s">
        <v>414</v>
      </c>
      <c r="O100" s="629"/>
    </row>
    <row r="101" spans="1:15" x14ac:dyDescent="0.15">
      <c r="A101" s="888"/>
      <c r="B101" s="890"/>
      <c r="C101" s="608" t="s">
        <v>414</v>
      </c>
      <c r="D101" s="609" t="s">
        <v>414</v>
      </c>
      <c r="E101" s="596">
        <v>733</v>
      </c>
      <c r="F101" s="596" t="s">
        <v>414</v>
      </c>
      <c r="G101" s="596">
        <v>509</v>
      </c>
      <c r="H101" s="597" t="s">
        <v>414</v>
      </c>
      <c r="I101" s="598" t="s">
        <v>414</v>
      </c>
      <c r="J101" s="596" t="s">
        <v>414</v>
      </c>
      <c r="K101" s="596" t="s">
        <v>414</v>
      </c>
      <c r="L101" s="611" t="s">
        <v>414</v>
      </c>
      <c r="M101" s="596">
        <v>137</v>
      </c>
      <c r="N101" s="599" t="s">
        <v>414</v>
      </c>
      <c r="O101" s="628"/>
    </row>
    <row r="102" spans="1:15" x14ac:dyDescent="0.15">
      <c r="A102" s="888"/>
      <c r="B102" s="890"/>
      <c r="C102" s="601" t="s">
        <v>414</v>
      </c>
      <c r="D102" s="602" t="s">
        <v>414</v>
      </c>
      <c r="E102" s="603" t="s">
        <v>414</v>
      </c>
      <c r="F102" s="603" t="s">
        <v>414</v>
      </c>
      <c r="G102" s="603" t="s">
        <v>414</v>
      </c>
      <c r="H102" s="612" t="s">
        <v>414</v>
      </c>
      <c r="I102" s="605" t="s">
        <v>414</v>
      </c>
      <c r="J102" s="603" t="s">
        <v>414</v>
      </c>
      <c r="K102" s="603" t="s">
        <v>414</v>
      </c>
      <c r="L102" s="603" t="s">
        <v>414</v>
      </c>
      <c r="M102" s="603" t="s">
        <v>471</v>
      </c>
      <c r="N102" s="606" t="s">
        <v>414</v>
      </c>
      <c r="O102" s="629"/>
    </row>
    <row r="103" spans="1:15" x14ac:dyDescent="0.15">
      <c r="A103" s="888"/>
      <c r="B103" s="890"/>
      <c r="C103" s="608" t="s">
        <v>414</v>
      </c>
      <c r="D103" s="609" t="s">
        <v>414</v>
      </c>
      <c r="E103" s="596" t="s">
        <v>414</v>
      </c>
      <c r="F103" s="596" t="s">
        <v>414</v>
      </c>
      <c r="G103" s="596" t="s">
        <v>414</v>
      </c>
      <c r="H103" s="597" t="s">
        <v>414</v>
      </c>
      <c r="I103" s="598" t="s">
        <v>414</v>
      </c>
      <c r="J103" s="596" t="s">
        <v>414</v>
      </c>
      <c r="K103" s="596" t="s">
        <v>414</v>
      </c>
      <c r="L103" s="611" t="s">
        <v>414</v>
      </c>
      <c r="M103" s="596">
        <v>176</v>
      </c>
      <c r="N103" s="599" t="s">
        <v>414</v>
      </c>
      <c r="O103" s="628"/>
    </row>
    <row r="104" spans="1:15" x14ac:dyDescent="0.15">
      <c r="A104" s="888"/>
      <c r="B104" s="890"/>
      <c r="C104" s="601" t="s">
        <v>414</v>
      </c>
      <c r="D104" s="602" t="s">
        <v>414</v>
      </c>
      <c r="E104" s="603" t="s">
        <v>414</v>
      </c>
      <c r="F104" s="603" t="s">
        <v>414</v>
      </c>
      <c r="G104" s="603" t="s">
        <v>414</v>
      </c>
      <c r="H104" s="612" t="s">
        <v>414</v>
      </c>
      <c r="I104" s="605" t="s">
        <v>414</v>
      </c>
      <c r="J104" s="603" t="s">
        <v>414</v>
      </c>
      <c r="K104" s="603" t="s">
        <v>414</v>
      </c>
      <c r="L104" s="603" t="s">
        <v>414</v>
      </c>
      <c r="M104" s="603" t="s">
        <v>414</v>
      </c>
      <c r="N104" s="630" t="s">
        <v>414</v>
      </c>
      <c r="O104" s="629"/>
    </row>
    <row r="105" spans="1:15" x14ac:dyDescent="0.15">
      <c r="A105" s="888"/>
      <c r="B105" s="890"/>
      <c r="C105" s="608" t="s">
        <v>414</v>
      </c>
      <c r="D105" s="609" t="s">
        <v>414</v>
      </c>
      <c r="E105" s="596" t="s">
        <v>414</v>
      </c>
      <c r="F105" s="596" t="s">
        <v>414</v>
      </c>
      <c r="G105" s="596" t="s">
        <v>414</v>
      </c>
      <c r="H105" s="597" t="s">
        <v>414</v>
      </c>
      <c r="I105" s="598" t="s">
        <v>414</v>
      </c>
      <c r="J105" s="596" t="s">
        <v>414</v>
      </c>
      <c r="K105" s="596" t="s">
        <v>414</v>
      </c>
      <c r="L105" s="611" t="s">
        <v>414</v>
      </c>
      <c r="M105" s="596" t="s">
        <v>414</v>
      </c>
      <c r="N105" s="631" t="s">
        <v>414</v>
      </c>
      <c r="O105" s="628"/>
    </row>
    <row r="106" spans="1:15" x14ac:dyDescent="0.15">
      <c r="A106" s="888"/>
      <c r="B106" s="890"/>
      <c r="C106" s="601" t="s">
        <v>414</v>
      </c>
      <c r="D106" s="602" t="s">
        <v>414</v>
      </c>
      <c r="E106" s="603" t="s">
        <v>414</v>
      </c>
      <c r="F106" s="603" t="s">
        <v>414</v>
      </c>
      <c r="G106" s="603" t="s">
        <v>414</v>
      </c>
      <c r="H106" s="612" t="s">
        <v>414</v>
      </c>
      <c r="I106" s="605" t="s">
        <v>414</v>
      </c>
      <c r="J106" s="603" t="s">
        <v>414</v>
      </c>
      <c r="K106" s="603" t="s">
        <v>414</v>
      </c>
      <c r="L106" s="603" t="s">
        <v>414</v>
      </c>
      <c r="M106" s="603" t="s">
        <v>414</v>
      </c>
      <c r="N106" s="606" t="s">
        <v>414</v>
      </c>
      <c r="O106" s="629"/>
    </row>
    <row r="107" spans="1:15" x14ac:dyDescent="0.15">
      <c r="A107" s="888"/>
      <c r="B107" s="890"/>
      <c r="C107" s="608" t="s">
        <v>414</v>
      </c>
      <c r="D107" s="609" t="s">
        <v>414</v>
      </c>
      <c r="E107" s="596" t="s">
        <v>414</v>
      </c>
      <c r="F107" s="596" t="s">
        <v>414</v>
      </c>
      <c r="G107" s="596" t="s">
        <v>414</v>
      </c>
      <c r="H107" s="597" t="s">
        <v>414</v>
      </c>
      <c r="I107" s="598" t="s">
        <v>414</v>
      </c>
      <c r="J107" s="596" t="s">
        <v>414</v>
      </c>
      <c r="K107" s="596" t="s">
        <v>414</v>
      </c>
      <c r="L107" s="611" t="s">
        <v>414</v>
      </c>
      <c r="M107" s="596" t="s">
        <v>414</v>
      </c>
      <c r="N107" s="599" t="s">
        <v>414</v>
      </c>
      <c r="O107" s="628"/>
    </row>
    <row r="108" spans="1:15" x14ac:dyDescent="0.15">
      <c r="A108" s="888"/>
      <c r="B108" s="890"/>
      <c r="C108" s="601" t="s">
        <v>414</v>
      </c>
      <c r="D108" s="602" t="s">
        <v>414</v>
      </c>
      <c r="E108" s="603" t="s">
        <v>414</v>
      </c>
      <c r="F108" s="603" t="s">
        <v>414</v>
      </c>
      <c r="G108" s="603" t="s">
        <v>414</v>
      </c>
      <c r="H108" s="612" t="s">
        <v>414</v>
      </c>
      <c r="I108" s="605" t="s">
        <v>414</v>
      </c>
      <c r="J108" s="603" t="s">
        <v>414</v>
      </c>
      <c r="K108" s="603" t="s">
        <v>414</v>
      </c>
      <c r="L108" s="603" t="s">
        <v>414</v>
      </c>
      <c r="M108" s="603" t="s">
        <v>414</v>
      </c>
      <c r="N108" s="606" t="s">
        <v>414</v>
      </c>
      <c r="O108" s="629"/>
    </row>
    <row r="109" spans="1:15" x14ac:dyDescent="0.15">
      <c r="A109" s="888"/>
      <c r="B109" s="890"/>
      <c r="C109" s="608" t="s">
        <v>414</v>
      </c>
      <c r="D109" s="609" t="s">
        <v>414</v>
      </c>
      <c r="E109" s="596" t="s">
        <v>414</v>
      </c>
      <c r="F109" s="596" t="s">
        <v>414</v>
      </c>
      <c r="G109" s="596" t="s">
        <v>414</v>
      </c>
      <c r="H109" s="597" t="s">
        <v>414</v>
      </c>
      <c r="I109" s="598" t="s">
        <v>414</v>
      </c>
      <c r="J109" s="596" t="s">
        <v>414</v>
      </c>
      <c r="K109" s="596" t="s">
        <v>414</v>
      </c>
      <c r="L109" s="611" t="s">
        <v>414</v>
      </c>
      <c r="M109" s="596" t="s">
        <v>414</v>
      </c>
      <c r="N109" s="599" t="s">
        <v>414</v>
      </c>
      <c r="O109" s="628"/>
    </row>
    <row r="110" spans="1:15" x14ac:dyDescent="0.15">
      <c r="A110" s="888"/>
      <c r="B110" s="890"/>
      <c r="C110" s="601" t="s">
        <v>414</v>
      </c>
      <c r="D110" s="602" t="s">
        <v>414</v>
      </c>
      <c r="E110" s="603" t="s">
        <v>414</v>
      </c>
      <c r="F110" s="603" t="s">
        <v>414</v>
      </c>
      <c r="G110" s="603" t="s">
        <v>414</v>
      </c>
      <c r="H110" s="612" t="s">
        <v>414</v>
      </c>
      <c r="I110" s="605" t="s">
        <v>414</v>
      </c>
      <c r="J110" s="603" t="s">
        <v>414</v>
      </c>
      <c r="K110" s="603" t="s">
        <v>414</v>
      </c>
      <c r="L110" s="603" t="s">
        <v>414</v>
      </c>
      <c r="M110" s="603" t="s">
        <v>414</v>
      </c>
      <c r="N110" s="606" t="s">
        <v>414</v>
      </c>
      <c r="O110" s="629"/>
    </row>
    <row r="111" spans="1:15" x14ac:dyDescent="0.15">
      <c r="A111" s="888"/>
      <c r="B111" s="890"/>
      <c r="C111" s="608" t="s">
        <v>414</v>
      </c>
      <c r="D111" s="609" t="s">
        <v>414</v>
      </c>
      <c r="E111" s="596" t="s">
        <v>414</v>
      </c>
      <c r="F111" s="596" t="s">
        <v>414</v>
      </c>
      <c r="G111" s="596" t="s">
        <v>414</v>
      </c>
      <c r="H111" s="597" t="s">
        <v>414</v>
      </c>
      <c r="I111" s="598" t="s">
        <v>414</v>
      </c>
      <c r="J111" s="596" t="s">
        <v>414</v>
      </c>
      <c r="K111" s="596" t="s">
        <v>414</v>
      </c>
      <c r="L111" s="611" t="s">
        <v>414</v>
      </c>
      <c r="M111" s="596" t="s">
        <v>414</v>
      </c>
      <c r="N111" s="599" t="s">
        <v>414</v>
      </c>
      <c r="O111" s="628"/>
    </row>
    <row r="112" spans="1:15" x14ac:dyDescent="0.15">
      <c r="A112" s="888"/>
      <c r="B112" s="890"/>
      <c r="C112" s="601" t="s">
        <v>414</v>
      </c>
      <c r="D112" s="602" t="s">
        <v>414</v>
      </c>
      <c r="E112" s="603" t="s">
        <v>414</v>
      </c>
      <c r="F112" s="603" t="s">
        <v>414</v>
      </c>
      <c r="G112" s="603" t="s">
        <v>414</v>
      </c>
      <c r="H112" s="612" t="s">
        <v>414</v>
      </c>
      <c r="I112" s="605" t="s">
        <v>414</v>
      </c>
      <c r="J112" s="603" t="s">
        <v>414</v>
      </c>
      <c r="K112" s="603" t="s">
        <v>414</v>
      </c>
      <c r="L112" s="603" t="s">
        <v>414</v>
      </c>
      <c r="M112" s="603" t="s">
        <v>414</v>
      </c>
      <c r="N112" s="606" t="s">
        <v>414</v>
      </c>
      <c r="O112" s="629"/>
    </row>
    <row r="113" spans="1:15" x14ac:dyDescent="0.15">
      <c r="A113" s="888"/>
      <c r="B113" s="890"/>
      <c r="C113" s="608" t="s">
        <v>414</v>
      </c>
      <c r="D113" s="609" t="s">
        <v>414</v>
      </c>
      <c r="E113" s="596" t="s">
        <v>414</v>
      </c>
      <c r="F113" s="596" t="s">
        <v>414</v>
      </c>
      <c r="G113" s="596" t="s">
        <v>414</v>
      </c>
      <c r="H113" s="597" t="s">
        <v>414</v>
      </c>
      <c r="I113" s="598" t="s">
        <v>414</v>
      </c>
      <c r="J113" s="596" t="s">
        <v>414</v>
      </c>
      <c r="K113" s="596" t="s">
        <v>414</v>
      </c>
      <c r="L113" s="611" t="s">
        <v>414</v>
      </c>
      <c r="M113" s="596" t="s">
        <v>414</v>
      </c>
      <c r="N113" s="599" t="s">
        <v>414</v>
      </c>
      <c r="O113" s="628"/>
    </row>
    <row r="114" spans="1:15" x14ac:dyDescent="0.15">
      <c r="A114" s="888"/>
      <c r="B114" s="890"/>
      <c r="C114" s="601" t="s">
        <v>414</v>
      </c>
      <c r="D114" s="602" t="s">
        <v>414</v>
      </c>
      <c r="E114" s="603" t="s">
        <v>414</v>
      </c>
      <c r="F114" s="603" t="s">
        <v>414</v>
      </c>
      <c r="G114" s="603" t="s">
        <v>414</v>
      </c>
      <c r="H114" s="612" t="s">
        <v>414</v>
      </c>
      <c r="I114" s="605" t="s">
        <v>414</v>
      </c>
      <c r="J114" s="603" t="s">
        <v>414</v>
      </c>
      <c r="K114" s="603" t="s">
        <v>414</v>
      </c>
      <c r="L114" s="603" t="s">
        <v>414</v>
      </c>
      <c r="M114" s="603" t="s">
        <v>414</v>
      </c>
      <c r="N114" s="606" t="s">
        <v>414</v>
      </c>
      <c r="O114" s="629"/>
    </row>
    <row r="115" spans="1:15" x14ac:dyDescent="0.15">
      <c r="A115" s="888"/>
      <c r="B115" s="890"/>
      <c r="C115" s="608" t="s">
        <v>414</v>
      </c>
      <c r="D115" s="609" t="s">
        <v>414</v>
      </c>
      <c r="E115" s="596" t="s">
        <v>414</v>
      </c>
      <c r="F115" s="596" t="s">
        <v>414</v>
      </c>
      <c r="G115" s="596" t="s">
        <v>414</v>
      </c>
      <c r="H115" s="597" t="s">
        <v>414</v>
      </c>
      <c r="I115" s="598" t="s">
        <v>414</v>
      </c>
      <c r="J115" s="596" t="s">
        <v>414</v>
      </c>
      <c r="K115" s="596" t="s">
        <v>414</v>
      </c>
      <c r="L115" s="611" t="s">
        <v>414</v>
      </c>
      <c r="M115" s="596" t="s">
        <v>414</v>
      </c>
      <c r="N115" s="599" t="s">
        <v>414</v>
      </c>
      <c r="O115" s="628"/>
    </row>
    <row r="116" spans="1:15" x14ac:dyDescent="0.15">
      <c r="A116" s="888"/>
      <c r="B116" s="890"/>
      <c r="C116" s="601" t="s">
        <v>414</v>
      </c>
      <c r="D116" s="602" t="s">
        <v>414</v>
      </c>
      <c r="E116" s="603" t="s">
        <v>414</v>
      </c>
      <c r="F116" s="603" t="s">
        <v>414</v>
      </c>
      <c r="G116" s="603" t="s">
        <v>414</v>
      </c>
      <c r="H116" s="612" t="s">
        <v>414</v>
      </c>
      <c r="I116" s="605" t="s">
        <v>414</v>
      </c>
      <c r="J116" s="603" t="s">
        <v>414</v>
      </c>
      <c r="K116" s="603" t="s">
        <v>414</v>
      </c>
      <c r="L116" s="603" t="s">
        <v>414</v>
      </c>
      <c r="M116" s="603" t="s">
        <v>414</v>
      </c>
      <c r="N116" s="606" t="s">
        <v>414</v>
      </c>
      <c r="O116" s="629"/>
    </row>
    <row r="117" spans="1:15" x14ac:dyDescent="0.15">
      <c r="A117" s="888"/>
      <c r="B117" s="890"/>
      <c r="C117" s="608" t="s">
        <v>414</v>
      </c>
      <c r="D117" s="609" t="s">
        <v>414</v>
      </c>
      <c r="E117" s="596" t="s">
        <v>414</v>
      </c>
      <c r="F117" s="596" t="s">
        <v>414</v>
      </c>
      <c r="G117" s="596" t="s">
        <v>414</v>
      </c>
      <c r="H117" s="597" t="s">
        <v>414</v>
      </c>
      <c r="I117" s="598" t="s">
        <v>414</v>
      </c>
      <c r="J117" s="596" t="s">
        <v>414</v>
      </c>
      <c r="K117" s="596" t="s">
        <v>414</v>
      </c>
      <c r="L117" s="611" t="s">
        <v>414</v>
      </c>
      <c r="M117" s="596" t="s">
        <v>414</v>
      </c>
      <c r="N117" s="599" t="s">
        <v>414</v>
      </c>
      <c r="O117" s="628"/>
    </row>
    <row r="118" spans="1:15" x14ac:dyDescent="0.15">
      <c r="A118" s="888"/>
      <c r="B118" s="890"/>
      <c r="C118" s="601" t="s">
        <v>414</v>
      </c>
      <c r="D118" s="602" t="s">
        <v>414</v>
      </c>
      <c r="E118" s="603" t="s">
        <v>414</v>
      </c>
      <c r="F118" s="603" t="s">
        <v>414</v>
      </c>
      <c r="G118" s="603" t="s">
        <v>414</v>
      </c>
      <c r="H118" s="612" t="s">
        <v>414</v>
      </c>
      <c r="I118" s="605" t="s">
        <v>414</v>
      </c>
      <c r="J118" s="603" t="s">
        <v>414</v>
      </c>
      <c r="K118" s="603" t="s">
        <v>414</v>
      </c>
      <c r="L118" s="603" t="s">
        <v>414</v>
      </c>
      <c r="M118" s="603" t="s">
        <v>414</v>
      </c>
      <c r="N118" s="606" t="s">
        <v>414</v>
      </c>
      <c r="O118" s="629"/>
    </row>
    <row r="119" spans="1:15" x14ac:dyDescent="0.15">
      <c r="A119" s="888"/>
      <c r="B119" s="890"/>
      <c r="C119" s="608" t="s">
        <v>414</v>
      </c>
      <c r="D119" s="609" t="s">
        <v>414</v>
      </c>
      <c r="E119" s="596" t="s">
        <v>414</v>
      </c>
      <c r="F119" s="596" t="s">
        <v>414</v>
      </c>
      <c r="G119" s="596" t="s">
        <v>414</v>
      </c>
      <c r="H119" s="597" t="s">
        <v>414</v>
      </c>
      <c r="I119" s="598" t="s">
        <v>414</v>
      </c>
      <c r="J119" s="596" t="s">
        <v>414</v>
      </c>
      <c r="K119" s="596" t="s">
        <v>414</v>
      </c>
      <c r="L119" s="611" t="s">
        <v>414</v>
      </c>
      <c r="M119" s="596" t="s">
        <v>414</v>
      </c>
      <c r="N119" s="599" t="s">
        <v>414</v>
      </c>
      <c r="O119" s="628"/>
    </row>
    <row r="120" spans="1:15" x14ac:dyDescent="0.15">
      <c r="A120" s="888"/>
      <c r="B120" s="890"/>
      <c r="C120" s="601" t="s">
        <v>414</v>
      </c>
      <c r="D120" s="602" t="s">
        <v>414</v>
      </c>
      <c r="E120" s="603" t="s">
        <v>414</v>
      </c>
      <c r="F120" s="603" t="s">
        <v>414</v>
      </c>
      <c r="G120" s="603" t="s">
        <v>414</v>
      </c>
      <c r="H120" s="612" t="s">
        <v>414</v>
      </c>
      <c r="I120" s="605" t="s">
        <v>414</v>
      </c>
      <c r="J120" s="603" t="s">
        <v>414</v>
      </c>
      <c r="K120" s="603" t="s">
        <v>414</v>
      </c>
      <c r="L120" s="603" t="s">
        <v>414</v>
      </c>
      <c r="M120" s="603" t="s">
        <v>414</v>
      </c>
      <c r="N120" s="606" t="s">
        <v>414</v>
      </c>
      <c r="O120" s="629"/>
    </row>
    <row r="121" spans="1:15" x14ac:dyDescent="0.15">
      <c r="A121" s="888"/>
      <c r="B121" s="890"/>
      <c r="C121" s="608" t="s">
        <v>414</v>
      </c>
      <c r="D121" s="609" t="s">
        <v>414</v>
      </c>
      <c r="E121" s="596" t="s">
        <v>414</v>
      </c>
      <c r="F121" s="596" t="s">
        <v>414</v>
      </c>
      <c r="G121" s="596" t="s">
        <v>414</v>
      </c>
      <c r="H121" s="597" t="s">
        <v>414</v>
      </c>
      <c r="I121" s="598" t="s">
        <v>414</v>
      </c>
      <c r="J121" s="596" t="s">
        <v>414</v>
      </c>
      <c r="K121" s="596" t="s">
        <v>414</v>
      </c>
      <c r="L121" s="611" t="s">
        <v>414</v>
      </c>
      <c r="M121" s="596" t="s">
        <v>414</v>
      </c>
      <c r="N121" s="599" t="s">
        <v>414</v>
      </c>
      <c r="O121" s="628"/>
    </row>
    <row r="122" spans="1:15" x14ac:dyDescent="0.15">
      <c r="A122" s="888"/>
      <c r="B122" s="890"/>
      <c r="C122" s="601" t="s">
        <v>414</v>
      </c>
      <c r="D122" s="602" t="s">
        <v>414</v>
      </c>
      <c r="E122" s="603" t="s">
        <v>414</v>
      </c>
      <c r="F122" s="603" t="s">
        <v>414</v>
      </c>
      <c r="G122" s="603" t="s">
        <v>414</v>
      </c>
      <c r="H122" s="612" t="s">
        <v>414</v>
      </c>
      <c r="I122" s="605" t="s">
        <v>414</v>
      </c>
      <c r="J122" s="603" t="s">
        <v>414</v>
      </c>
      <c r="K122" s="603" t="s">
        <v>414</v>
      </c>
      <c r="L122" s="603" t="s">
        <v>414</v>
      </c>
      <c r="M122" s="603" t="s">
        <v>414</v>
      </c>
      <c r="N122" s="606" t="s">
        <v>414</v>
      </c>
      <c r="O122" s="632"/>
    </row>
    <row r="123" spans="1:15" x14ac:dyDescent="0.15">
      <c r="A123" s="888"/>
      <c r="B123" s="890"/>
      <c r="C123" s="608" t="s">
        <v>414</v>
      </c>
      <c r="D123" s="609" t="s">
        <v>414</v>
      </c>
      <c r="E123" s="596" t="s">
        <v>414</v>
      </c>
      <c r="F123" s="596" t="s">
        <v>414</v>
      </c>
      <c r="G123" s="596" t="s">
        <v>414</v>
      </c>
      <c r="H123" s="597" t="s">
        <v>414</v>
      </c>
      <c r="I123" s="598" t="s">
        <v>414</v>
      </c>
      <c r="J123" s="596" t="s">
        <v>414</v>
      </c>
      <c r="K123" s="596" t="s">
        <v>414</v>
      </c>
      <c r="L123" s="611" t="s">
        <v>414</v>
      </c>
      <c r="M123" s="596" t="s">
        <v>414</v>
      </c>
      <c r="N123" s="599" t="s">
        <v>414</v>
      </c>
      <c r="O123" s="633"/>
    </row>
    <row r="124" spans="1:15" ht="15" thickBot="1" x14ac:dyDescent="0.2">
      <c r="A124" s="888"/>
      <c r="B124" s="634" t="s">
        <v>402</v>
      </c>
      <c r="C124" s="635">
        <f>SUM(C98:C123)</f>
        <v>0</v>
      </c>
      <c r="D124" s="636">
        <f t="shared" ref="D124:N124" si="3">SUM(D98:D123)</f>
        <v>380</v>
      </c>
      <c r="E124" s="636">
        <f t="shared" si="3"/>
        <v>787</v>
      </c>
      <c r="F124" s="636">
        <f t="shared" si="3"/>
        <v>0</v>
      </c>
      <c r="G124" s="636">
        <f t="shared" si="3"/>
        <v>1204</v>
      </c>
      <c r="H124" s="637">
        <f t="shared" si="3"/>
        <v>863</v>
      </c>
      <c r="I124" s="638">
        <f t="shared" si="3"/>
        <v>0</v>
      </c>
      <c r="J124" s="636">
        <f t="shared" si="3"/>
        <v>0</v>
      </c>
      <c r="K124" s="636">
        <f t="shared" si="3"/>
        <v>0</v>
      </c>
      <c r="L124" s="636">
        <f t="shared" si="3"/>
        <v>1498</v>
      </c>
      <c r="M124" s="636">
        <f t="shared" si="3"/>
        <v>623</v>
      </c>
      <c r="N124" s="639">
        <f t="shared" si="3"/>
        <v>0</v>
      </c>
      <c r="O124" s="640">
        <f>SUM(C124:N124)</f>
        <v>5355</v>
      </c>
    </row>
    <row r="125" spans="1:15" x14ac:dyDescent="0.15">
      <c r="A125" s="641"/>
      <c r="B125" s="641"/>
      <c r="C125" s="642"/>
      <c r="D125" s="643"/>
      <c r="E125" s="643"/>
      <c r="F125" s="643"/>
      <c r="G125" s="643"/>
      <c r="H125" s="643"/>
      <c r="I125" s="643"/>
      <c r="J125" s="643"/>
      <c r="K125" s="643"/>
      <c r="L125" s="643"/>
      <c r="M125" s="643"/>
      <c r="N125" s="643"/>
      <c r="O125" s="643"/>
    </row>
    <row r="126" spans="1:15" x14ac:dyDescent="0.15">
      <c r="A126" s="644"/>
      <c r="B126" s="645"/>
      <c r="C126" s="646"/>
      <c r="D126" s="647"/>
      <c r="E126" s="647"/>
      <c r="F126" s="647"/>
      <c r="G126" s="647"/>
      <c r="H126" s="647"/>
      <c r="I126" s="647"/>
      <c r="J126" s="647"/>
      <c r="K126" s="647"/>
      <c r="L126" s="647"/>
      <c r="M126" s="647"/>
      <c r="N126" s="647"/>
      <c r="O126" s="647"/>
    </row>
    <row r="127" spans="1:15" ht="19.5" thickBot="1" x14ac:dyDescent="0.2">
      <c r="A127" s="648" t="s">
        <v>403</v>
      </c>
      <c r="B127" s="649"/>
      <c r="C127" s="650"/>
      <c r="D127" s="651"/>
      <c r="E127" s="651"/>
      <c r="F127" s="651"/>
      <c r="G127" s="651"/>
      <c r="H127" s="651"/>
      <c r="I127" s="651"/>
      <c r="J127" s="651"/>
      <c r="K127" s="651"/>
      <c r="L127" s="651"/>
      <c r="M127" s="651"/>
      <c r="N127" s="651"/>
      <c r="O127" s="651"/>
    </row>
    <row r="128" spans="1:15" ht="17.25" thickBot="1" x14ac:dyDescent="0.2">
      <c r="A128" s="652" t="s">
        <v>404</v>
      </c>
      <c r="B128" s="653" t="s">
        <v>405</v>
      </c>
      <c r="C128" s="653" t="s">
        <v>406</v>
      </c>
      <c r="D128" s="653" t="s">
        <v>407</v>
      </c>
      <c r="E128" s="653" t="s">
        <v>408</v>
      </c>
      <c r="F128" s="653" t="s">
        <v>409</v>
      </c>
      <c r="G128" s="653" t="s">
        <v>410</v>
      </c>
      <c r="H128" s="653" t="s">
        <v>411</v>
      </c>
      <c r="I128" s="653" t="s">
        <v>137</v>
      </c>
      <c r="J128" s="653" t="s">
        <v>138</v>
      </c>
      <c r="K128" s="653" t="s">
        <v>139</v>
      </c>
      <c r="L128" s="653" t="s">
        <v>140</v>
      </c>
      <c r="M128" s="653" t="s">
        <v>141</v>
      </c>
      <c r="N128" s="653" t="s">
        <v>142</v>
      </c>
      <c r="O128" s="654" t="s">
        <v>143</v>
      </c>
    </row>
    <row r="129" spans="1:15" x14ac:dyDescent="0.15">
      <c r="A129" s="655" t="s">
        <v>474</v>
      </c>
      <c r="B129" s="656">
        <v>46844</v>
      </c>
      <c r="C129" s="657"/>
      <c r="D129" s="658"/>
      <c r="E129" s="658"/>
      <c r="F129" s="658"/>
      <c r="G129" s="658">
        <v>50</v>
      </c>
      <c r="H129" s="658">
        <v>40</v>
      </c>
      <c r="I129" s="658">
        <v>30</v>
      </c>
      <c r="J129" s="658">
        <v>20</v>
      </c>
      <c r="K129" s="658">
        <v>10</v>
      </c>
      <c r="L129" s="658"/>
      <c r="M129" s="658"/>
      <c r="N129" s="658"/>
      <c r="O129" s="659"/>
    </row>
    <row r="130" spans="1:15" ht="17.25" thickBot="1" x14ac:dyDescent="0.2">
      <c r="A130" s="660"/>
      <c r="B130" s="661"/>
      <c r="C130" s="662"/>
      <c r="D130" s="663"/>
      <c r="E130" s="664"/>
      <c r="F130" s="664"/>
      <c r="G130" s="664"/>
      <c r="H130" s="664"/>
      <c r="I130" s="664"/>
      <c r="J130" s="664"/>
      <c r="K130" s="664"/>
      <c r="L130" s="664"/>
      <c r="M130" s="665"/>
      <c r="N130" s="665"/>
      <c r="O130" s="666"/>
    </row>
    <row r="131" spans="1:15" ht="17.25" thickBot="1" x14ac:dyDescent="0.2">
      <c r="A131" s="667" t="s">
        <v>412</v>
      </c>
      <c r="B131" s="668"/>
      <c r="C131" s="669">
        <f t="shared" ref="C131:O131" si="4">SUM(C129:C130)</f>
        <v>0</v>
      </c>
      <c r="D131" s="669">
        <f t="shared" si="4"/>
        <v>0</v>
      </c>
      <c r="E131" s="669">
        <f t="shared" si="4"/>
        <v>0</v>
      </c>
      <c r="F131" s="669">
        <f t="shared" si="4"/>
        <v>0</v>
      </c>
      <c r="G131" s="669">
        <f t="shared" si="4"/>
        <v>50</v>
      </c>
      <c r="H131" s="669">
        <f t="shared" si="4"/>
        <v>40</v>
      </c>
      <c r="I131" s="669">
        <f t="shared" si="4"/>
        <v>30</v>
      </c>
      <c r="J131" s="669">
        <f t="shared" si="4"/>
        <v>20</v>
      </c>
      <c r="K131" s="669">
        <f t="shared" si="4"/>
        <v>10</v>
      </c>
      <c r="L131" s="669">
        <f t="shared" si="4"/>
        <v>0</v>
      </c>
      <c r="M131" s="669">
        <f t="shared" si="4"/>
        <v>0</v>
      </c>
      <c r="N131" s="669">
        <f t="shared" si="4"/>
        <v>0</v>
      </c>
      <c r="O131" s="669">
        <f t="shared" si="4"/>
        <v>0</v>
      </c>
    </row>
    <row r="132" spans="1:15" ht="16.5" x14ac:dyDescent="0.15">
      <c r="A132" s="670"/>
      <c r="B132" s="671"/>
      <c r="C132" s="672"/>
      <c r="D132" s="671"/>
      <c r="E132" s="670"/>
      <c r="F132" s="670"/>
      <c r="G132" s="670"/>
      <c r="H132" s="670"/>
      <c r="I132" s="670"/>
      <c r="J132" s="670"/>
      <c r="K132" s="670"/>
      <c r="L132" s="670"/>
      <c r="M132" s="670"/>
      <c r="N132" s="670"/>
      <c r="O132" s="670"/>
    </row>
    <row r="133" spans="1:15" ht="16.5" x14ac:dyDescent="0.15">
      <c r="A133" s="670"/>
      <c r="B133" s="671"/>
      <c r="C133" s="672"/>
      <c r="D133" s="671"/>
      <c r="E133" s="670"/>
      <c r="F133" s="670"/>
      <c r="G133" s="670"/>
      <c r="H133" s="670"/>
      <c r="I133" s="670"/>
      <c r="J133" s="670"/>
      <c r="K133" s="670"/>
      <c r="L133" s="670"/>
      <c r="M133" s="670"/>
      <c r="N133" s="670"/>
      <c r="O133" s="670"/>
    </row>
    <row r="134" spans="1:15" ht="16.5" x14ac:dyDescent="0.15">
      <c r="A134" s="670"/>
      <c r="B134" s="671"/>
      <c r="C134" s="672"/>
      <c r="D134" s="671"/>
      <c r="E134" s="670"/>
      <c r="F134" s="670"/>
      <c r="G134" s="670"/>
      <c r="H134" s="670"/>
      <c r="I134" s="670"/>
      <c r="J134" s="670"/>
      <c r="K134" s="670"/>
      <c r="L134" s="670"/>
      <c r="M134" s="670"/>
      <c r="N134" s="670"/>
      <c r="O134" s="670"/>
    </row>
    <row r="135" spans="1:15" ht="16.5" x14ac:dyDescent="0.15">
      <c r="A135" s="670"/>
      <c r="B135" s="671"/>
      <c r="C135" s="672"/>
      <c r="D135" s="671"/>
      <c r="E135" s="670"/>
      <c r="F135" s="670"/>
      <c r="G135" s="670"/>
      <c r="H135" s="670"/>
      <c r="I135" s="670"/>
      <c r="J135" s="670"/>
      <c r="K135" s="670"/>
      <c r="L135" s="670"/>
      <c r="M135" s="670"/>
      <c r="N135" s="670"/>
      <c r="O135" s="670"/>
    </row>
    <row r="136" spans="1:15" ht="27" x14ac:dyDescent="0.15">
      <c r="A136" s="576" t="s">
        <v>475</v>
      </c>
      <c r="B136" s="576"/>
      <c r="C136" s="576"/>
      <c r="D136" s="576"/>
      <c r="E136" s="576"/>
      <c r="F136" s="576"/>
      <c r="G136" s="576"/>
      <c r="H136" s="576"/>
      <c r="I136" s="576"/>
      <c r="J136" s="576"/>
      <c r="K136" s="576"/>
      <c r="L136" s="576"/>
      <c r="M136" s="576"/>
      <c r="N136" s="576"/>
      <c r="O136" s="576"/>
    </row>
    <row r="137" spans="1:15" ht="27" x14ac:dyDescent="0.15">
      <c r="A137" s="578"/>
      <c r="B137" s="579"/>
      <c r="C137" s="579"/>
      <c r="D137" s="579"/>
      <c r="E137" s="579"/>
      <c r="F137" s="579"/>
      <c r="G137" s="579"/>
      <c r="H137" s="579"/>
      <c r="I137" s="579"/>
      <c r="J137" s="579"/>
      <c r="K137" s="579"/>
      <c r="L137" s="579"/>
      <c r="M137" s="579"/>
      <c r="N137" s="579"/>
      <c r="O137" s="579"/>
    </row>
    <row r="138" spans="1:15" ht="26.25" thickBot="1" x14ac:dyDescent="0.2">
      <c r="A138" s="580" t="s">
        <v>476</v>
      </c>
      <c r="B138" s="581"/>
      <c r="C138" s="582"/>
      <c r="D138" s="581"/>
      <c r="E138" s="581"/>
      <c r="F138" s="581"/>
      <c r="G138" s="581"/>
      <c r="H138" s="581"/>
      <c r="I138" s="581"/>
      <c r="J138" s="581"/>
      <c r="K138" s="581"/>
      <c r="L138" s="581"/>
      <c r="M138" s="581"/>
      <c r="N138" s="581"/>
      <c r="O138" s="581"/>
    </row>
    <row r="139" spans="1:15" x14ac:dyDescent="0.15">
      <c r="A139" s="891" t="s">
        <v>393</v>
      </c>
      <c r="B139" s="892"/>
      <c r="C139" s="895" t="s">
        <v>394</v>
      </c>
      <c r="D139" s="896"/>
      <c r="E139" s="896"/>
      <c r="F139" s="896"/>
      <c r="G139" s="896"/>
      <c r="H139" s="897"/>
      <c r="I139" s="898" t="s">
        <v>395</v>
      </c>
      <c r="J139" s="896"/>
      <c r="K139" s="896"/>
      <c r="L139" s="896"/>
      <c r="M139" s="896"/>
      <c r="N139" s="899"/>
      <c r="O139" s="879" t="s">
        <v>396</v>
      </c>
    </row>
    <row r="140" spans="1:15" ht="15" thickBot="1" x14ac:dyDescent="0.2">
      <c r="A140" s="893"/>
      <c r="B140" s="894"/>
      <c r="C140" s="584">
        <v>1</v>
      </c>
      <c r="D140" s="585">
        <f>C140+1</f>
        <v>2</v>
      </c>
      <c r="E140" s="585">
        <f t="shared" ref="E140:N140" si="5">D140+1</f>
        <v>3</v>
      </c>
      <c r="F140" s="585">
        <f t="shared" si="5"/>
        <v>4</v>
      </c>
      <c r="G140" s="585">
        <f t="shared" si="5"/>
        <v>5</v>
      </c>
      <c r="H140" s="586">
        <f t="shared" si="5"/>
        <v>6</v>
      </c>
      <c r="I140" s="587">
        <f t="shared" si="5"/>
        <v>7</v>
      </c>
      <c r="J140" s="585">
        <f t="shared" si="5"/>
        <v>8</v>
      </c>
      <c r="K140" s="585">
        <f t="shared" si="5"/>
        <v>9</v>
      </c>
      <c r="L140" s="585">
        <f t="shared" si="5"/>
        <v>10</v>
      </c>
      <c r="M140" s="585">
        <f t="shared" si="5"/>
        <v>11</v>
      </c>
      <c r="N140" s="588">
        <f t="shared" si="5"/>
        <v>12</v>
      </c>
      <c r="O140" s="880"/>
    </row>
    <row r="141" spans="1:15" x14ac:dyDescent="0.15">
      <c r="A141" s="881" t="s">
        <v>397</v>
      </c>
      <c r="B141" s="884" t="s">
        <v>398</v>
      </c>
      <c r="C141" s="589" t="s">
        <v>414</v>
      </c>
      <c r="D141" s="590" t="s">
        <v>414</v>
      </c>
      <c r="E141" s="590" t="s">
        <v>414</v>
      </c>
      <c r="F141" s="590" t="s">
        <v>473</v>
      </c>
      <c r="G141" s="590" t="s">
        <v>414</v>
      </c>
      <c r="H141" s="591" t="s">
        <v>414</v>
      </c>
      <c r="I141" s="592" t="s">
        <v>414</v>
      </c>
      <c r="J141" s="590" t="s">
        <v>414</v>
      </c>
      <c r="K141" s="590" t="s">
        <v>477</v>
      </c>
      <c r="L141" s="590" t="s">
        <v>414</v>
      </c>
      <c r="M141" s="590" t="s">
        <v>414</v>
      </c>
      <c r="N141" s="593" t="s">
        <v>472</v>
      </c>
      <c r="O141" s="594"/>
    </row>
    <row r="142" spans="1:15" x14ac:dyDescent="0.15">
      <c r="A142" s="882"/>
      <c r="B142" s="885"/>
      <c r="C142" s="595" t="s">
        <v>414</v>
      </c>
      <c r="D142" s="596" t="s">
        <v>414</v>
      </c>
      <c r="E142" s="596" t="s">
        <v>414</v>
      </c>
      <c r="F142" s="596">
        <v>1498</v>
      </c>
      <c r="G142" s="596" t="s">
        <v>414</v>
      </c>
      <c r="H142" s="597" t="s">
        <v>414</v>
      </c>
      <c r="I142" s="598" t="s">
        <v>414</v>
      </c>
      <c r="J142" s="596" t="s">
        <v>414</v>
      </c>
      <c r="K142" s="596">
        <v>173</v>
      </c>
      <c r="L142" s="596" t="s">
        <v>414</v>
      </c>
      <c r="M142" s="596" t="s">
        <v>414</v>
      </c>
      <c r="N142" s="599">
        <v>863</v>
      </c>
      <c r="O142" s="600"/>
    </row>
    <row r="143" spans="1:15" x14ac:dyDescent="0.15">
      <c r="A143" s="882"/>
      <c r="B143" s="885"/>
      <c r="C143" s="601" t="s">
        <v>414</v>
      </c>
      <c r="D143" s="602" t="s">
        <v>414</v>
      </c>
      <c r="E143" s="603" t="s">
        <v>414</v>
      </c>
      <c r="F143" s="603" t="s">
        <v>414</v>
      </c>
      <c r="G143" s="603" t="s">
        <v>414</v>
      </c>
      <c r="H143" s="612" t="s">
        <v>414</v>
      </c>
      <c r="I143" s="605" t="s">
        <v>414</v>
      </c>
      <c r="J143" s="603" t="s">
        <v>414</v>
      </c>
      <c r="K143" s="603" t="s">
        <v>414</v>
      </c>
      <c r="L143" s="603" t="s">
        <v>414</v>
      </c>
      <c r="M143" s="603" t="s">
        <v>414</v>
      </c>
      <c r="N143" s="606" t="s">
        <v>478</v>
      </c>
      <c r="O143" s="607"/>
    </row>
    <row r="144" spans="1:15" x14ac:dyDescent="0.15">
      <c r="A144" s="882"/>
      <c r="B144" s="885"/>
      <c r="C144" s="608" t="s">
        <v>414</v>
      </c>
      <c r="D144" s="609" t="s">
        <v>414</v>
      </c>
      <c r="E144" s="596" t="s">
        <v>414</v>
      </c>
      <c r="F144" s="596" t="s">
        <v>414</v>
      </c>
      <c r="G144" s="596" t="s">
        <v>414</v>
      </c>
      <c r="H144" s="597" t="s">
        <v>414</v>
      </c>
      <c r="I144" s="598" t="s">
        <v>414</v>
      </c>
      <c r="J144" s="596" t="s">
        <v>414</v>
      </c>
      <c r="K144" s="596" t="s">
        <v>414</v>
      </c>
      <c r="L144" s="611" t="s">
        <v>414</v>
      </c>
      <c r="M144" s="596" t="s">
        <v>414</v>
      </c>
      <c r="N144" s="599">
        <v>400</v>
      </c>
      <c r="O144" s="600"/>
    </row>
    <row r="145" spans="1:15" x14ac:dyDescent="0.15">
      <c r="A145" s="882"/>
      <c r="B145" s="885"/>
      <c r="C145" s="601" t="s">
        <v>414</v>
      </c>
      <c r="D145" s="602" t="s">
        <v>414</v>
      </c>
      <c r="E145" s="603" t="s">
        <v>414</v>
      </c>
      <c r="F145" s="603" t="s">
        <v>414</v>
      </c>
      <c r="G145" s="603" t="s">
        <v>414</v>
      </c>
      <c r="H145" s="612" t="s">
        <v>414</v>
      </c>
      <c r="I145" s="605" t="s">
        <v>414</v>
      </c>
      <c r="J145" s="603" t="s">
        <v>414</v>
      </c>
      <c r="K145" s="603" t="s">
        <v>414</v>
      </c>
      <c r="L145" s="603" t="s">
        <v>414</v>
      </c>
      <c r="M145" s="603" t="s">
        <v>414</v>
      </c>
      <c r="N145" s="606" t="s">
        <v>479</v>
      </c>
      <c r="O145" s="607"/>
    </row>
    <row r="146" spans="1:15" x14ac:dyDescent="0.15">
      <c r="A146" s="882"/>
      <c r="B146" s="885"/>
      <c r="C146" s="608" t="s">
        <v>414</v>
      </c>
      <c r="D146" s="609" t="s">
        <v>414</v>
      </c>
      <c r="E146" s="596" t="s">
        <v>414</v>
      </c>
      <c r="F146" s="596" t="s">
        <v>414</v>
      </c>
      <c r="G146" s="596" t="s">
        <v>414</v>
      </c>
      <c r="H146" s="597" t="s">
        <v>414</v>
      </c>
      <c r="I146" s="598" t="s">
        <v>414</v>
      </c>
      <c r="J146" s="596" t="s">
        <v>414</v>
      </c>
      <c r="K146" s="596" t="s">
        <v>414</v>
      </c>
      <c r="L146" s="611" t="s">
        <v>414</v>
      </c>
      <c r="M146" s="596" t="s">
        <v>414</v>
      </c>
      <c r="N146" s="599">
        <v>448</v>
      </c>
      <c r="O146" s="600"/>
    </row>
    <row r="147" spans="1:15" x14ac:dyDescent="0.15">
      <c r="A147" s="882"/>
      <c r="B147" s="885"/>
      <c r="C147" s="601" t="s">
        <v>414</v>
      </c>
      <c r="D147" s="602" t="s">
        <v>414</v>
      </c>
      <c r="E147" s="603" t="s">
        <v>414</v>
      </c>
      <c r="F147" s="603" t="s">
        <v>414</v>
      </c>
      <c r="G147" s="603" t="s">
        <v>414</v>
      </c>
      <c r="H147" s="612" t="s">
        <v>414</v>
      </c>
      <c r="I147" s="605" t="s">
        <v>414</v>
      </c>
      <c r="J147" s="603" t="s">
        <v>414</v>
      </c>
      <c r="K147" s="603" t="s">
        <v>414</v>
      </c>
      <c r="L147" s="603" t="s">
        <v>414</v>
      </c>
      <c r="M147" s="603" t="s">
        <v>414</v>
      </c>
      <c r="N147" s="606" t="s">
        <v>480</v>
      </c>
      <c r="O147" s="607"/>
    </row>
    <row r="148" spans="1:15" x14ac:dyDescent="0.15">
      <c r="A148" s="882"/>
      <c r="B148" s="885"/>
      <c r="C148" s="608" t="s">
        <v>414</v>
      </c>
      <c r="D148" s="609" t="s">
        <v>414</v>
      </c>
      <c r="E148" s="596" t="s">
        <v>414</v>
      </c>
      <c r="F148" s="596" t="s">
        <v>414</v>
      </c>
      <c r="G148" s="596" t="s">
        <v>414</v>
      </c>
      <c r="H148" s="597" t="s">
        <v>414</v>
      </c>
      <c r="I148" s="598" t="s">
        <v>414</v>
      </c>
      <c r="J148" s="596" t="s">
        <v>414</v>
      </c>
      <c r="K148" s="596" t="s">
        <v>414</v>
      </c>
      <c r="L148" s="611" t="s">
        <v>414</v>
      </c>
      <c r="M148" s="596" t="s">
        <v>414</v>
      </c>
      <c r="N148" s="599">
        <v>94</v>
      </c>
      <c r="O148" s="600"/>
    </row>
    <row r="149" spans="1:15" x14ac:dyDescent="0.15">
      <c r="A149" s="882"/>
      <c r="B149" s="885"/>
      <c r="C149" s="601" t="s">
        <v>414</v>
      </c>
      <c r="D149" s="602" t="s">
        <v>414</v>
      </c>
      <c r="E149" s="603" t="s">
        <v>414</v>
      </c>
      <c r="F149" s="603" t="s">
        <v>414</v>
      </c>
      <c r="G149" s="603" t="s">
        <v>414</v>
      </c>
      <c r="H149" s="612" t="s">
        <v>414</v>
      </c>
      <c r="I149" s="605" t="s">
        <v>414</v>
      </c>
      <c r="J149" s="603" t="s">
        <v>414</v>
      </c>
      <c r="K149" s="603" t="s">
        <v>414</v>
      </c>
      <c r="L149" s="603" t="s">
        <v>414</v>
      </c>
      <c r="M149" s="603" t="s">
        <v>414</v>
      </c>
      <c r="N149" s="606" t="s">
        <v>481</v>
      </c>
      <c r="O149" s="607"/>
    </row>
    <row r="150" spans="1:15" x14ac:dyDescent="0.15">
      <c r="A150" s="882"/>
      <c r="B150" s="885"/>
      <c r="C150" s="608" t="s">
        <v>414</v>
      </c>
      <c r="D150" s="609" t="s">
        <v>414</v>
      </c>
      <c r="E150" s="596" t="s">
        <v>414</v>
      </c>
      <c r="F150" s="596" t="s">
        <v>414</v>
      </c>
      <c r="G150" s="596" t="s">
        <v>414</v>
      </c>
      <c r="H150" s="597" t="s">
        <v>414</v>
      </c>
      <c r="I150" s="598" t="s">
        <v>414</v>
      </c>
      <c r="J150" s="596" t="s">
        <v>414</v>
      </c>
      <c r="K150" s="596" t="s">
        <v>414</v>
      </c>
      <c r="L150" s="611" t="s">
        <v>414</v>
      </c>
      <c r="M150" s="596" t="s">
        <v>414</v>
      </c>
      <c r="N150" s="599">
        <v>745</v>
      </c>
      <c r="O150" s="600"/>
    </row>
    <row r="151" spans="1:15" x14ac:dyDescent="0.15">
      <c r="A151" s="882"/>
      <c r="B151" s="885"/>
      <c r="C151" s="601" t="s">
        <v>414</v>
      </c>
      <c r="D151" s="602" t="s">
        <v>414</v>
      </c>
      <c r="E151" s="603" t="s">
        <v>414</v>
      </c>
      <c r="F151" s="603" t="s">
        <v>414</v>
      </c>
      <c r="G151" s="603" t="s">
        <v>414</v>
      </c>
      <c r="H151" s="612" t="s">
        <v>414</v>
      </c>
      <c r="I151" s="605" t="s">
        <v>414</v>
      </c>
      <c r="J151" s="603" t="s">
        <v>414</v>
      </c>
      <c r="K151" s="603" t="s">
        <v>414</v>
      </c>
      <c r="L151" s="603" t="s">
        <v>414</v>
      </c>
      <c r="M151" s="603" t="s">
        <v>414</v>
      </c>
      <c r="N151" s="606" t="s">
        <v>482</v>
      </c>
      <c r="O151" s="607"/>
    </row>
    <row r="152" spans="1:15" x14ac:dyDescent="0.15">
      <c r="A152" s="882"/>
      <c r="B152" s="885"/>
      <c r="C152" s="608" t="s">
        <v>414</v>
      </c>
      <c r="D152" s="609" t="s">
        <v>414</v>
      </c>
      <c r="E152" s="596" t="s">
        <v>414</v>
      </c>
      <c r="F152" s="596" t="s">
        <v>414</v>
      </c>
      <c r="G152" s="596" t="s">
        <v>414</v>
      </c>
      <c r="H152" s="597" t="s">
        <v>414</v>
      </c>
      <c r="I152" s="598" t="s">
        <v>414</v>
      </c>
      <c r="J152" s="596" t="s">
        <v>414</v>
      </c>
      <c r="K152" s="596" t="s">
        <v>414</v>
      </c>
      <c r="L152" s="611" t="s">
        <v>414</v>
      </c>
      <c r="M152" s="596" t="s">
        <v>414</v>
      </c>
      <c r="N152" s="599">
        <v>522</v>
      </c>
      <c r="O152" s="600"/>
    </row>
    <row r="153" spans="1:15" x14ac:dyDescent="0.15">
      <c r="A153" s="882"/>
      <c r="B153" s="885"/>
      <c r="C153" s="601" t="s">
        <v>414</v>
      </c>
      <c r="D153" s="602" t="s">
        <v>414</v>
      </c>
      <c r="E153" s="603" t="s">
        <v>414</v>
      </c>
      <c r="F153" s="603" t="s">
        <v>414</v>
      </c>
      <c r="G153" s="603" t="s">
        <v>414</v>
      </c>
      <c r="H153" s="612" t="s">
        <v>414</v>
      </c>
      <c r="I153" s="605" t="s">
        <v>414</v>
      </c>
      <c r="J153" s="603" t="s">
        <v>414</v>
      </c>
      <c r="K153" s="603" t="s">
        <v>414</v>
      </c>
      <c r="L153" s="603" t="s">
        <v>414</v>
      </c>
      <c r="M153" s="603" t="s">
        <v>414</v>
      </c>
      <c r="N153" s="606" t="s">
        <v>483</v>
      </c>
      <c r="O153" s="607"/>
    </row>
    <row r="154" spans="1:15" x14ac:dyDescent="0.15">
      <c r="A154" s="882"/>
      <c r="B154" s="885"/>
      <c r="C154" s="608" t="s">
        <v>414</v>
      </c>
      <c r="D154" s="609" t="s">
        <v>414</v>
      </c>
      <c r="E154" s="596" t="s">
        <v>414</v>
      </c>
      <c r="F154" s="596" t="s">
        <v>414</v>
      </c>
      <c r="G154" s="596" t="s">
        <v>414</v>
      </c>
      <c r="H154" s="597" t="s">
        <v>414</v>
      </c>
      <c r="I154" s="598" t="s">
        <v>414</v>
      </c>
      <c r="J154" s="596" t="s">
        <v>414</v>
      </c>
      <c r="K154" s="596" t="s">
        <v>414</v>
      </c>
      <c r="L154" s="611" t="s">
        <v>414</v>
      </c>
      <c r="M154" s="596" t="s">
        <v>414</v>
      </c>
      <c r="N154" s="599">
        <v>593</v>
      </c>
      <c r="O154" s="600"/>
    </row>
    <row r="155" spans="1:15" x14ac:dyDescent="0.15">
      <c r="A155" s="882"/>
      <c r="B155" s="885"/>
      <c r="C155" s="601" t="s">
        <v>414</v>
      </c>
      <c r="D155" s="602" t="s">
        <v>414</v>
      </c>
      <c r="E155" s="603" t="s">
        <v>414</v>
      </c>
      <c r="F155" s="603" t="s">
        <v>414</v>
      </c>
      <c r="G155" s="603" t="s">
        <v>414</v>
      </c>
      <c r="H155" s="612" t="s">
        <v>414</v>
      </c>
      <c r="I155" s="605" t="s">
        <v>414</v>
      </c>
      <c r="J155" s="603" t="s">
        <v>414</v>
      </c>
      <c r="K155" s="603" t="s">
        <v>414</v>
      </c>
      <c r="L155" s="603" t="s">
        <v>414</v>
      </c>
      <c r="M155" s="603" t="s">
        <v>414</v>
      </c>
      <c r="N155" s="606" t="s">
        <v>414</v>
      </c>
      <c r="O155" s="607"/>
    </row>
    <row r="156" spans="1:15" x14ac:dyDescent="0.15">
      <c r="A156" s="882"/>
      <c r="B156" s="885"/>
      <c r="C156" s="608" t="s">
        <v>414</v>
      </c>
      <c r="D156" s="609" t="s">
        <v>414</v>
      </c>
      <c r="E156" s="596" t="s">
        <v>414</v>
      </c>
      <c r="F156" s="596" t="s">
        <v>414</v>
      </c>
      <c r="G156" s="596" t="s">
        <v>414</v>
      </c>
      <c r="H156" s="597" t="s">
        <v>414</v>
      </c>
      <c r="I156" s="598" t="s">
        <v>414</v>
      </c>
      <c r="J156" s="596" t="s">
        <v>414</v>
      </c>
      <c r="K156" s="596" t="s">
        <v>414</v>
      </c>
      <c r="L156" s="611" t="s">
        <v>414</v>
      </c>
      <c r="M156" s="596" t="s">
        <v>414</v>
      </c>
      <c r="N156" s="599" t="s">
        <v>414</v>
      </c>
      <c r="O156" s="600"/>
    </row>
    <row r="157" spans="1:15" x14ac:dyDescent="0.15">
      <c r="A157" s="882"/>
      <c r="B157" s="885"/>
      <c r="C157" s="601" t="s">
        <v>414</v>
      </c>
      <c r="D157" s="602" t="s">
        <v>414</v>
      </c>
      <c r="E157" s="603" t="s">
        <v>414</v>
      </c>
      <c r="F157" s="603" t="s">
        <v>414</v>
      </c>
      <c r="G157" s="603" t="s">
        <v>414</v>
      </c>
      <c r="H157" s="612" t="s">
        <v>414</v>
      </c>
      <c r="I157" s="605" t="s">
        <v>414</v>
      </c>
      <c r="J157" s="603" t="s">
        <v>414</v>
      </c>
      <c r="K157" s="603" t="s">
        <v>414</v>
      </c>
      <c r="L157" s="603" t="s">
        <v>414</v>
      </c>
      <c r="M157" s="603" t="s">
        <v>414</v>
      </c>
      <c r="N157" s="606" t="s">
        <v>414</v>
      </c>
      <c r="O157" s="607"/>
    </row>
    <row r="158" spans="1:15" x14ac:dyDescent="0.15">
      <c r="A158" s="882"/>
      <c r="B158" s="885"/>
      <c r="C158" s="608" t="s">
        <v>414</v>
      </c>
      <c r="D158" s="609" t="s">
        <v>414</v>
      </c>
      <c r="E158" s="596" t="s">
        <v>414</v>
      </c>
      <c r="F158" s="596" t="s">
        <v>414</v>
      </c>
      <c r="G158" s="596" t="s">
        <v>414</v>
      </c>
      <c r="H158" s="597" t="s">
        <v>414</v>
      </c>
      <c r="I158" s="598" t="s">
        <v>414</v>
      </c>
      <c r="J158" s="596" t="s">
        <v>414</v>
      </c>
      <c r="K158" s="596" t="s">
        <v>414</v>
      </c>
      <c r="L158" s="611" t="s">
        <v>414</v>
      </c>
      <c r="M158" s="596" t="s">
        <v>414</v>
      </c>
      <c r="N158" s="599" t="s">
        <v>414</v>
      </c>
      <c r="O158" s="600"/>
    </row>
    <row r="159" spans="1:15" x14ac:dyDescent="0.15">
      <c r="A159" s="882"/>
      <c r="B159" s="885"/>
      <c r="C159" s="601" t="s">
        <v>414</v>
      </c>
      <c r="D159" s="602" t="s">
        <v>414</v>
      </c>
      <c r="E159" s="603" t="s">
        <v>414</v>
      </c>
      <c r="F159" s="603" t="s">
        <v>414</v>
      </c>
      <c r="G159" s="603" t="s">
        <v>414</v>
      </c>
      <c r="H159" s="612" t="s">
        <v>414</v>
      </c>
      <c r="I159" s="605" t="s">
        <v>414</v>
      </c>
      <c r="J159" s="603" t="s">
        <v>414</v>
      </c>
      <c r="K159" s="603" t="s">
        <v>414</v>
      </c>
      <c r="L159" s="603" t="s">
        <v>414</v>
      </c>
      <c r="M159" s="603" t="s">
        <v>414</v>
      </c>
      <c r="N159" s="606" t="s">
        <v>414</v>
      </c>
      <c r="O159" s="607"/>
    </row>
    <row r="160" spans="1:15" x14ac:dyDescent="0.15">
      <c r="A160" s="882"/>
      <c r="B160" s="885"/>
      <c r="C160" s="608" t="s">
        <v>414</v>
      </c>
      <c r="D160" s="609" t="s">
        <v>414</v>
      </c>
      <c r="E160" s="596" t="s">
        <v>414</v>
      </c>
      <c r="F160" s="596" t="s">
        <v>414</v>
      </c>
      <c r="G160" s="596" t="s">
        <v>414</v>
      </c>
      <c r="H160" s="597" t="s">
        <v>414</v>
      </c>
      <c r="I160" s="598" t="s">
        <v>414</v>
      </c>
      <c r="J160" s="596" t="s">
        <v>414</v>
      </c>
      <c r="K160" s="596" t="s">
        <v>414</v>
      </c>
      <c r="L160" s="611" t="s">
        <v>414</v>
      </c>
      <c r="M160" s="596" t="s">
        <v>414</v>
      </c>
      <c r="N160" s="599" t="s">
        <v>414</v>
      </c>
      <c r="O160" s="600"/>
    </row>
    <row r="161" spans="1:15" x14ac:dyDescent="0.15">
      <c r="A161" s="882"/>
      <c r="B161" s="885"/>
      <c r="C161" s="601" t="s">
        <v>414</v>
      </c>
      <c r="D161" s="602" t="s">
        <v>414</v>
      </c>
      <c r="E161" s="603" t="s">
        <v>414</v>
      </c>
      <c r="F161" s="603" t="s">
        <v>414</v>
      </c>
      <c r="G161" s="603" t="s">
        <v>414</v>
      </c>
      <c r="H161" s="612" t="s">
        <v>414</v>
      </c>
      <c r="I161" s="605" t="s">
        <v>414</v>
      </c>
      <c r="J161" s="603" t="s">
        <v>414</v>
      </c>
      <c r="K161" s="603" t="s">
        <v>414</v>
      </c>
      <c r="L161" s="603" t="s">
        <v>414</v>
      </c>
      <c r="M161" s="603" t="s">
        <v>414</v>
      </c>
      <c r="N161" s="606" t="s">
        <v>414</v>
      </c>
      <c r="O161" s="607"/>
    </row>
    <row r="162" spans="1:15" x14ac:dyDescent="0.15">
      <c r="A162" s="882"/>
      <c r="B162" s="885"/>
      <c r="C162" s="608" t="s">
        <v>414</v>
      </c>
      <c r="D162" s="609" t="s">
        <v>414</v>
      </c>
      <c r="E162" s="596" t="s">
        <v>414</v>
      </c>
      <c r="F162" s="596" t="s">
        <v>414</v>
      </c>
      <c r="G162" s="596" t="s">
        <v>414</v>
      </c>
      <c r="H162" s="597" t="s">
        <v>414</v>
      </c>
      <c r="I162" s="598" t="s">
        <v>414</v>
      </c>
      <c r="J162" s="596" t="s">
        <v>414</v>
      </c>
      <c r="K162" s="596" t="s">
        <v>414</v>
      </c>
      <c r="L162" s="611" t="s">
        <v>414</v>
      </c>
      <c r="M162" s="596" t="s">
        <v>414</v>
      </c>
      <c r="N162" s="599" t="s">
        <v>414</v>
      </c>
      <c r="O162" s="600"/>
    </row>
    <row r="163" spans="1:15" x14ac:dyDescent="0.15">
      <c r="A163" s="882"/>
      <c r="B163" s="885"/>
      <c r="C163" s="601" t="s">
        <v>414</v>
      </c>
      <c r="D163" s="602" t="s">
        <v>414</v>
      </c>
      <c r="E163" s="603" t="s">
        <v>414</v>
      </c>
      <c r="F163" s="603" t="s">
        <v>414</v>
      </c>
      <c r="G163" s="603" t="s">
        <v>414</v>
      </c>
      <c r="H163" s="612" t="s">
        <v>414</v>
      </c>
      <c r="I163" s="605" t="s">
        <v>414</v>
      </c>
      <c r="J163" s="603" t="s">
        <v>414</v>
      </c>
      <c r="K163" s="603" t="s">
        <v>414</v>
      </c>
      <c r="L163" s="603" t="s">
        <v>414</v>
      </c>
      <c r="M163" s="603" t="s">
        <v>414</v>
      </c>
      <c r="N163" s="606" t="s">
        <v>414</v>
      </c>
      <c r="O163" s="607"/>
    </row>
    <row r="164" spans="1:15" x14ac:dyDescent="0.15">
      <c r="A164" s="882"/>
      <c r="B164" s="885"/>
      <c r="C164" s="608" t="s">
        <v>414</v>
      </c>
      <c r="D164" s="609" t="s">
        <v>414</v>
      </c>
      <c r="E164" s="596" t="s">
        <v>414</v>
      </c>
      <c r="F164" s="596" t="s">
        <v>414</v>
      </c>
      <c r="G164" s="596" t="s">
        <v>414</v>
      </c>
      <c r="H164" s="597" t="s">
        <v>414</v>
      </c>
      <c r="I164" s="598" t="s">
        <v>414</v>
      </c>
      <c r="J164" s="596" t="s">
        <v>414</v>
      </c>
      <c r="K164" s="596" t="s">
        <v>414</v>
      </c>
      <c r="L164" s="611" t="s">
        <v>414</v>
      </c>
      <c r="M164" s="596" t="s">
        <v>414</v>
      </c>
      <c r="N164" s="599" t="s">
        <v>414</v>
      </c>
      <c r="O164" s="600"/>
    </row>
    <row r="165" spans="1:15" x14ac:dyDescent="0.15">
      <c r="A165" s="882"/>
      <c r="B165" s="885"/>
      <c r="C165" s="601" t="s">
        <v>414</v>
      </c>
      <c r="D165" s="602" t="s">
        <v>414</v>
      </c>
      <c r="E165" s="603" t="s">
        <v>414</v>
      </c>
      <c r="F165" s="603" t="s">
        <v>414</v>
      </c>
      <c r="G165" s="603" t="s">
        <v>414</v>
      </c>
      <c r="H165" s="612" t="s">
        <v>414</v>
      </c>
      <c r="I165" s="605" t="s">
        <v>414</v>
      </c>
      <c r="J165" s="603" t="s">
        <v>414</v>
      </c>
      <c r="K165" s="603" t="s">
        <v>414</v>
      </c>
      <c r="L165" s="603" t="s">
        <v>414</v>
      </c>
      <c r="M165" s="603" t="s">
        <v>414</v>
      </c>
      <c r="N165" s="606" t="s">
        <v>414</v>
      </c>
      <c r="O165" s="607"/>
    </row>
    <row r="166" spans="1:15" x14ac:dyDescent="0.15">
      <c r="A166" s="882"/>
      <c r="B166" s="885"/>
      <c r="C166" s="608" t="s">
        <v>414</v>
      </c>
      <c r="D166" s="609" t="s">
        <v>414</v>
      </c>
      <c r="E166" s="596" t="s">
        <v>414</v>
      </c>
      <c r="F166" s="596" t="s">
        <v>414</v>
      </c>
      <c r="G166" s="596" t="s">
        <v>414</v>
      </c>
      <c r="H166" s="597" t="s">
        <v>414</v>
      </c>
      <c r="I166" s="598" t="s">
        <v>414</v>
      </c>
      <c r="J166" s="596" t="s">
        <v>414</v>
      </c>
      <c r="K166" s="596" t="s">
        <v>414</v>
      </c>
      <c r="L166" s="611" t="s">
        <v>414</v>
      </c>
      <c r="M166" s="596" t="s">
        <v>414</v>
      </c>
      <c r="N166" s="599" t="s">
        <v>414</v>
      </c>
      <c r="O166" s="600"/>
    </row>
    <row r="167" spans="1:15" x14ac:dyDescent="0.15">
      <c r="A167" s="882"/>
      <c r="B167" s="885"/>
      <c r="C167" s="613" t="s">
        <v>414</v>
      </c>
      <c r="D167" s="614" t="s">
        <v>414</v>
      </c>
      <c r="E167" s="615" t="s">
        <v>414</v>
      </c>
      <c r="F167" s="615" t="s">
        <v>414</v>
      </c>
      <c r="G167" s="615" t="s">
        <v>414</v>
      </c>
      <c r="H167" s="616" t="s">
        <v>414</v>
      </c>
      <c r="I167" s="617" t="s">
        <v>414</v>
      </c>
      <c r="J167" s="615" t="s">
        <v>414</v>
      </c>
      <c r="K167" s="615" t="s">
        <v>414</v>
      </c>
      <c r="L167" s="618" t="s">
        <v>414</v>
      </c>
      <c r="M167" s="615" t="s">
        <v>414</v>
      </c>
      <c r="N167" s="619" t="s">
        <v>414</v>
      </c>
      <c r="O167" s="620"/>
    </row>
    <row r="168" spans="1:15" x14ac:dyDescent="0.15">
      <c r="A168" s="882"/>
      <c r="B168" s="886"/>
      <c r="C168" s="613" t="s">
        <v>414</v>
      </c>
      <c r="D168" s="614" t="s">
        <v>414</v>
      </c>
      <c r="E168" s="615" t="s">
        <v>414</v>
      </c>
      <c r="F168" s="615" t="s">
        <v>414</v>
      </c>
      <c r="G168" s="615" t="s">
        <v>414</v>
      </c>
      <c r="H168" s="616" t="s">
        <v>414</v>
      </c>
      <c r="I168" s="617" t="s">
        <v>414</v>
      </c>
      <c r="J168" s="615" t="s">
        <v>414</v>
      </c>
      <c r="K168" s="615" t="s">
        <v>414</v>
      </c>
      <c r="L168" s="618" t="s">
        <v>414</v>
      </c>
      <c r="M168" s="615" t="s">
        <v>414</v>
      </c>
      <c r="N168" s="619" t="s">
        <v>414</v>
      </c>
      <c r="O168" s="620"/>
    </row>
    <row r="169" spans="1:15" ht="15" thickBot="1" x14ac:dyDescent="0.2">
      <c r="A169" s="883"/>
      <c r="B169" s="621" t="s">
        <v>399</v>
      </c>
      <c r="C169" s="719">
        <v>989</v>
      </c>
      <c r="D169" s="719">
        <v>846</v>
      </c>
      <c r="E169" s="719">
        <v>604</v>
      </c>
      <c r="F169" s="719">
        <v>547</v>
      </c>
      <c r="G169" s="719">
        <v>507</v>
      </c>
      <c r="H169" s="719">
        <v>466</v>
      </c>
      <c r="I169" s="719">
        <v>442</v>
      </c>
      <c r="J169" s="719">
        <v>420</v>
      </c>
      <c r="K169" s="719">
        <v>424</v>
      </c>
      <c r="L169" s="719">
        <v>455</v>
      </c>
      <c r="M169" s="719">
        <v>447</v>
      </c>
      <c r="N169" s="719">
        <v>555</v>
      </c>
      <c r="O169" s="624">
        <f>SUM(C169:N169)</f>
        <v>6702</v>
      </c>
    </row>
    <row r="170" spans="1:15" x14ac:dyDescent="0.15">
      <c r="A170" s="887" t="s">
        <v>400</v>
      </c>
      <c r="B170" s="889" t="s">
        <v>401</v>
      </c>
      <c r="C170" s="589" t="s">
        <v>414</v>
      </c>
      <c r="D170" s="590" t="s">
        <v>414</v>
      </c>
      <c r="E170" s="590" t="s">
        <v>414</v>
      </c>
      <c r="F170" s="590" t="s">
        <v>414</v>
      </c>
      <c r="G170" s="590" t="s">
        <v>414</v>
      </c>
      <c r="H170" s="591" t="s">
        <v>414</v>
      </c>
      <c r="I170" s="592" t="s">
        <v>414</v>
      </c>
      <c r="J170" s="590" t="s">
        <v>477</v>
      </c>
      <c r="K170" s="590" t="s">
        <v>414</v>
      </c>
      <c r="L170" s="590" t="s">
        <v>478</v>
      </c>
      <c r="M170" s="590" t="s">
        <v>479</v>
      </c>
      <c r="N170" s="593" t="s">
        <v>481</v>
      </c>
      <c r="O170" s="626"/>
    </row>
    <row r="171" spans="1:15" x14ac:dyDescent="0.15">
      <c r="A171" s="888"/>
      <c r="B171" s="890"/>
      <c r="C171" s="595" t="s">
        <v>414</v>
      </c>
      <c r="D171" s="596" t="s">
        <v>414</v>
      </c>
      <c r="E171" s="596" t="s">
        <v>414</v>
      </c>
      <c r="F171" s="596" t="s">
        <v>414</v>
      </c>
      <c r="G171" s="596" t="s">
        <v>414</v>
      </c>
      <c r="H171" s="597" t="s">
        <v>414</v>
      </c>
      <c r="I171" s="598" t="s">
        <v>414</v>
      </c>
      <c r="J171" s="596">
        <v>173</v>
      </c>
      <c r="K171" s="596" t="s">
        <v>414</v>
      </c>
      <c r="L171" s="596">
        <v>400</v>
      </c>
      <c r="M171" s="596">
        <v>448</v>
      </c>
      <c r="N171" s="599">
        <v>745</v>
      </c>
      <c r="O171" s="628"/>
    </row>
    <row r="172" spans="1:15" x14ac:dyDescent="0.15">
      <c r="A172" s="888"/>
      <c r="B172" s="890"/>
      <c r="C172" s="601" t="s">
        <v>414</v>
      </c>
      <c r="D172" s="602" t="s">
        <v>414</v>
      </c>
      <c r="E172" s="603" t="s">
        <v>414</v>
      </c>
      <c r="F172" s="603" t="s">
        <v>414</v>
      </c>
      <c r="G172" s="603" t="s">
        <v>414</v>
      </c>
      <c r="H172" s="612" t="s">
        <v>414</v>
      </c>
      <c r="I172" s="605" t="s">
        <v>414</v>
      </c>
      <c r="J172" s="603" t="s">
        <v>414</v>
      </c>
      <c r="K172" s="603" t="s">
        <v>414</v>
      </c>
      <c r="L172" s="603" t="s">
        <v>414</v>
      </c>
      <c r="M172" s="603" t="s">
        <v>480</v>
      </c>
      <c r="N172" s="606" t="s">
        <v>482</v>
      </c>
      <c r="O172" s="629"/>
    </row>
    <row r="173" spans="1:15" x14ac:dyDescent="0.15">
      <c r="A173" s="888"/>
      <c r="B173" s="890"/>
      <c r="C173" s="608" t="s">
        <v>414</v>
      </c>
      <c r="D173" s="609" t="s">
        <v>414</v>
      </c>
      <c r="E173" s="596" t="s">
        <v>414</v>
      </c>
      <c r="F173" s="596" t="s">
        <v>414</v>
      </c>
      <c r="G173" s="596" t="s">
        <v>414</v>
      </c>
      <c r="H173" s="597" t="s">
        <v>414</v>
      </c>
      <c r="I173" s="598" t="s">
        <v>414</v>
      </c>
      <c r="J173" s="596" t="s">
        <v>414</v>
      </c>
      <c r="K173" s="596" t="s">
        <v>414</v>
      </c>
      <c r="L173" s="611" t="s">
        <v>414</v>
      </c>
      <c r="M173" s="596">
        <v>94</v>
      </c>
      <c r="N173" s="599">
        <v>522</v>
      </c>
      <c r="O173" s="628"/>
    </row>
    <row r="174" spans="1:15" x14ac:dyDescent="0.15">
      <c r="A174" s="888"/>
      <c r="B174" s="890"/>
      <c r="C174" s="601" t="s">
        <v>414</v>
      </c>
      <c r="D174" s="602" t="s">
        <v>414</v>
      </c>
      <c r="E174" s="603" t="s">
        <v>414</v>
      </c>
      <c r="F174" s="603" t="s">
        <v>414</v>
      </c>
      <c r="G174" s="603" t="s">
        <v>414</v>
      </c>
      <c r="H174" s="612" t="s">
        <v>414</v>
      </c>
      <c r="I174" s="605" t="s">
        <v>414</v>
      </c>
      <c r="J174" s="603" t="s">
        <v>414</v>
      </c>
      <c r="K174" s="603" t="s">
        <v>414</v>
      </c>
      <c r="L174" s="603" t="s">
        <v>414</v>
      </c>
      <c r="M174" s="603" t="s">
        <v>414</v>
      </c>
      <c r="N174" s="606" t="s">
        <v>483</v>
      </c>
      <c r="O174" s="629"/>
    </row>
    <row r="175" spans="1:15" x14ac:dyDescent="0.15">
      <c r="A175" s="888"/>
      <c r="B175" s="890"/>
      <c r="C175" s="608" t="s">
        <v>414</v>
      </c>
      <c r="D175" s="609" t="s">
        <v>414</v>
      </c>
      <c r="E175" s="596" t="s">
        <v>414</v>
      </c>
      <c r="F175" s="596" t="s">
        <v>414</v>
      </c>
      <c r="G175" s="596" t="s">
        <v>414</v>
      </c>
      <c r="H175" s="597" t="s">
        <v>414</v>
      </c>
      <c r="I175" s="598" t="s">
        <v>414</v>
      </c>
      <c r="J175" s="596" t="s">
        <v>414</v>
      </c>
      <c r="K175" s="596" t="s">
        <v>414</v>
      </c>
      <c r="L175" s="611" t="s">
        <v>414</v>
      </c>
      <c r="M175" s="596" t="s">
        <v>414</v>
      </c>
      <c r="N175" s="599">
        <v>593</v>
      </c>
      <c r="O175" s="628"/>
    </row>
    <row r="176" spans="1:15" x14ac:dyDescent="0.15">
      <c r="A176" s="888"/>
      <c r="B176" s="890"/>
      <c r="C176" s="601" t="s">
        <v>414</v>
      </c>
      <c r="D176" s="602" t="s">
        <v>414</v>
      </c>
      <c r="E176" s="603" t="s">
        <v>414</v>
      </c>
      <c r="F176" s="603" t="s">
        <v>414</v>
      </c>
      <c r="G176" s="603" t="s">
        <v>414</v>
      </c>
      <c r="H176" s="612" t="s">
        <v>414</v>
      </c>
      <c r="I176" s="605" t="s">
        <v>414</v>
      </c>
      <c r="J176" s="603" t="s">
        <v>414</v>
      </c>
      <c r="K176" s="603" t="s">
        <v>414</v>
      </c>
      <c r="L176" s="603" t="s">
        <v>414</v>
      </c>
      <c r="M176" s="603" t="s">
        <v>414</v>
      </c>
      <c r="N176" s="630" t="s">
        <v>414</v>
      </c>
      <c r="O176" s="629"/>
    </row>
    <row r="177" spans="1:15" x14ac:dyDescent="0.15">
      <c r="A177" s="888"/>
      <c r="B177" s="890"/>
      <c r="C177" s="608" t="s">
        <v>414</v>
      </c>
      <c r="D177" s="609" t="s">
        <v>414</v>
      </c>
      <c r="E177" s="596" t="s">
        <v>414</v>
      </c>
      <c r="F177" s="596" t="s">
        <v>414</v>
      </c>
      <c r="G177" s="596" t="s">
        <v>414</v>
      </c>
      <c r="H177" s="597" t="s">
        <v>414</v>
      </c>
      <c r="I177" s="598" t="s">
        <v>414</v>
      </c>
      <c r="J177" s="596" t="s">
        <v>414</v>
      </c>
      <c r="K177" s="596" t="s">
        <v>414</v>
      </c>
      <c r="L177" s="611" t="s">
        <v>414</v>
      </c>
      <c r="M177" s="596" t="s">
        <v>414</v>
      </c>
      <c r="N177" s="631" t="s">
        <v>414</v>
      </c>
      <c r="O177" s="628"/>
    </row>
    <row r="178" spans="1:15" x14ac:dyDescent="0.15">
      <c r="A178" s="888"/>
      <c r="B178" s="890"/>
      <c r="C178" s="601" t="s">
        <v>414</v>
      </c>
      <c r="D178" s="602" t="s">
        <v>414</v>
      </c>
      <c r="E178" s="603" t="s">
        <v>414</v>
      </c>
      <c r="F178" s="603" t="s">
        <v>414</v>
      </c>
      <c r="G178" s="603" t="s">
        <v>414</v>
      </c>
      <c r="H178" s="612" t="s">
        <v>414</v>
      </c>
      <c r="I178" s="605" t="s">
        <v>414</v>
      </c>
      <c r="J178" s="603" t="s">
        <v>414</v>
      </c>
      <c r="K178" s="603" t="s">
        <v>414</v>
      </c>
      <c r="L178" s="603" t="s">
        <v>414</v>
      </c>
      <c r="M178" s="603" t="s">
        <v>414</v>
      </c>
      <c r="N178" s="606" t="s">
        <v>414</v>
      </c>
      <c r="O178" s="629"/>
    </row>
    <row r="179" spans="1:15" x14ac:dyDescent="0.15">
      <c r="A179" s="888"/>
      <c r="B179" s="890"/>
      <c r="C179" s="608" t="s">
        <v>414</v>
      </c>
      <c r="D179" s="609" t="s">
        <v>414</v>
      </c>
      <c r="E179" s="596" t="s">
        <v>414</v>
      </c>
      <c r="F179" s="596" t="s">
        <v>414</v>
      </c>
      <c r="G179" s="596" t="s">
        <v>414</v>
      </c>
      <c r="H179" s="597" t="s">
        <v>414</v>
      </c>
      <c r="I179" s="598" t="s">
        <v>414</v>
      </c>
      <c r="J179" s="596" t="s">
        <v>414</v>
      </c>
      <c r="K179" s="596" t="s">
        <v>414</v>
      </c>
      <c r="L179" s="611" t="s">
        <v>414</v>
      </c>
      <c r="M179" s="596" t="s">
        <v>414</v>
      </c>
      <c r="N179" s="599" t="s">
        <v>414</v>
      </c>
      <c r="O179" s="628"/>
    </row>
    <row r="180" spans="1:15" x14ac:dyDescent="0.15">
      <c r="A180" s="888"/>
      <c r="B180" s="890"/>
      <c r="C180" s="601" t="s">
        <v>414</v>
      </c>
      <c r="D180" s="602" t="s">
        <v>414</v>
      </c>
      <c r="E180" s="603" t="s">
        <v>414</v>
      </c>
      <c r="F180" s="603" t="s">
        <v>414</v>
      </c>
      <c r="G180" s="603" t="s">
        <v>414</v>
      </c>
      <c r="H180" s="612" t="s">
        <v>414</v>
      </c>
      <c r="I180" s="605" t="s">
        <v>414</v>
      </c>
      <c r="J180" s="603" t="s">
        <v>414</v>
      </c>
      <c r="K180" s="603" t="s">
        <v>414</v>
      </c>
      <c r="L180" s="603" t="s">
        <v>414</v>
      </c>
      <c r="M180" s="603" t="s">
        <v>414</v>
      </c>
      <c r="N180" s="606" t="s">
        <v>414</v>
      </c>
      <c r="O180" s="629"/>
    </row>
    <row r="181" spans="1:15" x14ac:dyDescent="0.15">
      <c r="A181" s="888"/>
      <c r="B181" s="890"/>
      <c r="C181" s="608" t="s">
        <v>414</v>
      </c>
      <c r="D181" s="609" t="s">
        <v>414</v>
      </c>
      <c r="E181" s="596" t="s">
        <v>414</v>
      </c>
      <c r="F181" s="596" t="s">
        <v>414</v>
      </c>
      <c r="G181" s="596" t="s">
        <v>414</v>
      </c>
      <c r="H181" s="597" t="s">
        <v>414</v>
      </c>
      <c r="I181" s="598" t="s">
        <v>414</v>
      </c>
      <c r="J181" s="596" t="s">
        <v>414</v>
      </c>
      <c r="K181" s="596" t="s">
        <v>414</v>
      </c>
      <c r="L181" s="611" t="s">
        <v>414</v>
      </c>
      <c r="M181" s="596" t="s">
        <v>414</v>
      </c>
      <c r="N181" s="599" t="s">
        <v>414</v>
      </c>
      <c r="O181" s="628"/>
    </row>
    <row r="182" spans="1:15" x14ac:dyDescent="0.15">
      <c r="A182" s="888"/>
      <c r="B182" s="890"/>
      <c r="C182" s="601" t="s">
        <v>414</v>
      </c>
      <c r="D182" s="602" t="s">
        <v>414</v>
      </c>
      <c r="E182" s="603" t="s">
        <v>414</v>
      </c>
      <c r="F182" s="603" t="s">
        <v>414</v>
      </c>
      <c r="G182" s="603" t="s">
        <v>414</v>
      </c>
      <c r="H182" s="612" t="s">
        <v>414</v>
      </c>
      <c r="I182" s="605" t="s">
        <v>414</v>
      </c>
      <c r="J182" s="603" t="s">
        <v>414</v>
      </c>
      <c r="K182" s="603" t="s">
        <v>414</v>
      </c>
      <c r="L182" s="603" t="s">
        <v>414</v>
      </c>
      <c r="M182" s="603" t="s">
        <v>414</v>
      </c>
      <c r="N182" s="606" t="s">
        <v>414</v>
      </c>
      <c r="O182" s="629"/>
    </row>
    <row r="183" spans="1:15" x14ac:dyDescent="0.15">
      <c r="A183" s="888"/>
      <c r="B183" s="890"/>
      <c r="C183" s="608" t="s">
        <v>414</v>
      </c>
      <c r="D183" s="609" t="s">
        <v>414</v>
      </c>
      <c r="E183" s="596" t="s">
        <v>414</v>
      </c>
      <c r="F183" s="596" t="s">
        <v>414</v>
      </c>
      <c r="G183" s="596" t="s">
        <v>414</v>
      </c>
      <c r="H183" s="597" t="s">
        <v>414</v>
      </c>
      <c r="I183" s="598" t="s">
        <v>414</v>
      </c>
      <c r="J183" s="596" t="s">
        <v>414</v>
      </c>
      <c r="K183" s="596" t="s">
        <v>414</v>
      </c>
      <c r="L183" s="611" t="s">
        <v>414</v>
      </c>
      <c r="M183" s="596" t="s">
        <v>414</v>
      </c>
      <c r="N183" s="599" t="s">
        <v>414</v>
      </c>
      <c r="O183" s="628"/>
    </row>
    <row r="184" spans="1:15" x14ac:dyDescent="0.15">
      <c r="A184" s="888"/>
      <c r="B184" s="890"/>
      <c r="C184" s="601" t="s">
        <v>414</v>
      </c>
      <c r="D184" s="602" t="s">
        <v>414</v>
      </c>
      <c r="E184" s="603" t="s">
        <v>414</v>
      </c>
      <c r="F184" s="603" t="s">
        <v>414</v>
      </c>
      <c r="G184" s="603" t="s">
        <v>414</v>
      </c>
      <c r="H184" s="612" t="s">
        <v>414</v>
      </c>
      <c r="I184" s="605" t="s">
        <v>414</v>
      </c>
      <c r="J184" s="603" t="s">
        <v>414</v>
      </c>
      <c r="K184" s="603" t="s">
        <v>414</v>
      </c>
      <c r="L184" s="603" t="s">
        <v>414</v>
      </c>
      <c r="M184" s="603" t="s">
        <v>414</v>
      </c>
      <c r="N184" s="606" t="s">
        <v>414</v>
      </c>
      <c r="O184" s="629"/>
    </row>
    <row r="185" spans="1:15" x14ac:dyDescent="0.15">
      <c r="A185" s="888"/>
      <c r="B185" s="890"/>
      <c r="C185" s="608" t="s">
        <v>414</v>
      </c>
      <c r="D185" s="609" t="s">
        <v>414</v>
      </c>
      <c r="E185" s="596" t="s">
        <v>414</v>
      </c>
      <c r="F185" s="596" t="s">
        <v>414</v>
      </c>
      <c r="G185" s="596" t="s">
        <v>414</v>
      </c>
      <c r="H185" s="597" t="s">
        <v>414</v>
      </c>
      <c r="I185" s="598" t="s">
        <v>414</v>
      </c>
      <c r="J185" s="596" t="s">
        <v>414</v>
      </c>
      <c r="K185" s="596" t="s">
        <v>414</v>
      </c>
      <c r="L185" s="611" t="s">
        <v>414</v>
      </c>
      <c r="M185" s="596" t="s">
        <v>414</v>
      </c>
      <c r="N185" s="599" t="s">
        <v>414</v>
      </c>
      <c r="O185" s="628"/>
    </row>
    <row r="186" spans="1:15" x14ac:dyDescent="0.15">
      <c r="A186" s="888"/>
      <c r="B186" s="890"/>
      <c r="C186" s="601" t="s">
        <v>414</v>
      </c>
      <c r="D186" s="602" t="s">
        <v>414</v>
      </c>
      <c r="E186" s="603" t="s">
        <v>414</v>
      </c>
      <c r="F186" s="603" t="s">
        <v>414</v>
      </c>
      <c r="G186" s="603" t="s">
        <v>414</v>
      </c>
      <c r="H186" s="612" t="s">
        <v>414</v>
      </c>
      <c r="I186" s="605" t="s">
        <v>414</v>
      </c>
      <c r="J186" s="603" t="s">
        <v>414</v>
      </c>
      <c r="K186" s="603" t="s">
        <v>414</v>
      </c>
      <c r="L186" s="603" t="s">
        <v>414</v>
      </c>
      <c r="M186" s="603" t="s">
        <v>414</v>
      </c>
      <c r="N186" s="606" t="s">
        <v>414</v>
      </c>
      <c r="O186" s="629"/>
    </row>
    <row r="187" spans="1:15" x14ac:dyDescent="0.15">
      <c r="A187" s="888"/>
      <c r="B187" s="890"/>
      <c r="C187" s="608" t="s">
        <v>414</v>
      </c>
      <c r="D187" s="609" t="s">
        <v>414</v>
      </c>
      <c r="E187" s="596" t="s">
        <v>414</v>
      </c>
      <c r="F187" s="596" t="s">
        <v>414</v>
      </c>
      <c r="G187" s="596" t="s">
        <v>414</v>
      </c>
      <c r="H187" s="597" t="s">
        <v>414</v>
      </c>
      <c r="I187" s="598" t="s">
        <v>414</v>
      </c>
      <c r="J187" s="596" t="s">
        <v>414</v>
      </c>
      <c r="K187" s="596" t="s">
        <v>414</v>
      </c>
      <c r="L187" s="611" t="s">
        <v>414</v>
      </c>
      <c r="M187" s="596" t="s">
        <v>414</v>
      </c>
      <c r="N187" s="599" t="s">
        <v>414</v>
      </c>
      <c r="O187" s="628"/>
    </row>
    <row r="188" spans="1:15" x14ac:dyDescent="0.15">
      <c r="A188" s="888"/>
      <c r="B188" s="890"/>
      <c r="C188" s="601" t="s">
        <v>414</v>
      </c>
      <c r="D188" s="602" t="s">
        <v>414</v>
      </c>
      <c r="E188" s="603" t="s">
        <v>414</v>
      </c>
      <c r="F188" s="603" t="s">
        <v>414</v>
      </c>
      <c r="G188" s="603" t="s">
        <v>414</v>
      </c>
      <c r="H188" s="612" t="s">
        <v>414</v>
      </c>
      <c r="I188" s="605" t="s">
        <v>414</v>
      </c>
      <c r="J188" s="603" t="s">
        <v>414</v>
      </c>
      <c r="K188" s="603" t="s">
        <v>414</v>
      </c>
      <c r="L188" s="603" t="s">
        <v>414</v>
      </c>
      <c r="M188" s="603" t="s">
        <v>414</v>
      </c>
      <c r="N188" s="606" t="s">
        <v>414</v>
      </c>
      <c r="O188" s="629"/>
    </row>
    <row r="189" spans="1:15" x14ac:dyDescent="0.15">
      <c r="A189" s="888"/>
      <c r="B189" s="890"/>
      <c r="C189" s="608" t="s">
        <v>414</v>
      </c>
      <c r="D189" s="609" t="s">
        <v>414</v>
      </c>
      <c r="E189" s="596" t="s">
        <v>414</v>
      </c>
      <c r="F189" s="596" t="s">
        <v>414</v>
      </c>
      <c r="G189" s="596" t="s">
        <v>414</v>
      </c>
      <c r="H189" s="597" t="s">
        <v>414</v>
      </c>
      <c r="I189" s="598" t="s">
        <v>414</v>
      </c>
      <c r="J189" s="596" t="s">
        <v>414</v>
      </c>
      <c r="K189" s="596" t="s">
        <v>414</v>
      </c>
      <c r="L189" s="611" t="s">
        <v>414</v>
      </c>
      <c r="M189" s="596" t="s">
        <v>414</v>
      </c>
      <c r="N189" s="599" t="s">
        <v>414</v>
      </c>
      <c r="O189" s="628"/>
    </row>
    <row r="190" spans="1:15" x14ac:dyDescent="0.15">
      <c r="A190" s="888"/>
      <c r="B190" s="890"/>
      <c r="C190" s="601" t="s">
        <v>414</v>
      </c>
      <c r="D190" s="602" t="s">
        <v>414</v>
      </c>
      <c r="E190" s="603" t="s">
        <v>414</v>
      </c>
      <c r="F190" s="603" t="s">
        <v>414</v>
      </c>
      <c r="G190" s="603" t="s">
        <v>414</v>
      </c>
      <c r="H190" s="612" t="s">
        <v>414</v>
      </c>
      <c r="I190" s="605" t="s">
        <v>414</v>
      </c>
      <c r="J190" s="603" t="s">
        <v>414</v>
      </c>
      <c r="K190" s="603" t="s">
        <v>414</v>
      </c>
      <c r="L190" s="603" t="s">
        <v>414</v>
      </c>
      <c r="M190" s="603" t="s">
        <v>414</v>
      </c>
      <c r="N190" s="606" t="s">
        <v>414</v>
      </c>
      <c r="O190" s="629"/>
    </row>
    <row r="191" spans="1:15" x14ac:dyDescent="0.15">
      <c r="A191" s="888"/>
      <c r="B191" s="890"/>
      <c r="C191" s="608" t="s">
        <v>414</v>
      </c>
      <c r="D191" s="609" t="s">
        <v>414</v>
      </c>
      <c r="E191" s="596" t="s">
        <v>414</v>
      </c>
      <c r="F191" s="596" t="s">
        <v>414</v>
      </c>
      <c r="G191" s="596" t="s">
        <v>414</v>
      </c>
      <c r="H191" s="597" t="s">
        <v>414</v>
      </c>
      <c r="I191" s="598" t="s">
        <v>414</v>
      </c>
      <c r="J191" s="596" t="s">
        <v>414</v>
      </c>
      <c r="K191" s="596" t="s">
        <v>414</v>
      </c>
      <c r="L191" s="611" t="s">
        <v>414</v>
      </c>
      <c r="M191" s="596" t="s">
        <v>414</v>
      </c>
      <c r="N191" s="599" t="s">
        <v>414</v>
      </c>
      <c r="O191" s="628"/>
    </row>
    <row r="192" spans="1:15" x14ac:dyDescent="0.15">
      <c r="A192" s="888"/>
      <c r="B192" s="890"/>
      <c r="C192" s="601" t="s">
        <v>414</v>
      </c>
      <c r="D192" s="602" t="s">
        <v>414</v>
      </c>
      <c r="E192" s="603" t="s">
        <v>414</v>
      </c>
      <c r="F192" s="603" t="s">
        <v>414</v>
      </c>
      <c r="G192" s="603" t="s">
        <v>414</v>
      </c>
      <c r="H192" s="612" t="s">
        <v>414</v>
      </c>
      <c r="I192" s="605" t="s">
        <v>414</v>
      </c>
      <c r="J192" s="603" t="s">
        <v>414</v>
      </c>
      <c r="K192" s="603" t="s">
        <v>414</v>
      </c>
      <c r="L192" s="603" t="s">
        <v>414</v>
      </c>
      <c r="M192" s="603" t="s">
        <v>414</v>
      </c>
      <c r="N192" s="606" t="s">
        <v>414</v>
      </c>
      <c r="O192" s="629"/>
    </row>
    <row r="193" spans="1:15" x14ac:dyDescent="0.15">
      <c r="A193" s="888"/>
      <c r="B193" s="890"/>
      <c r="C193" s="608" t="s">
        <v>414</v>
      </c>
      <c r="D193" s="609" t="s">
        <v>414</v>
      </c>
      <c r="E193" s="596" t="s">
        <v>414</v>
      </c>
      <c r="F193" s="596" t="s">
        <v>414</v>
      </c>
      <c r="G193" s="596" t="s">
        <v>414</v>
      </c>
      <c r="H193" s="597" t="s">
        <v>414</v>
      </c>
      <c r="I193" s="598" t="s">
        <v>414</v>
      </c>
      <c r="J193" s="596" t="s">
        <v>414</v>
      </c>
      <c r="K193" s="596" t="s">
        <v>414</v>
      </c>
      <c r="L193" s="611" t="s">
        <v>414</v>
      </c>
      <c r="M193" s="596" t="s">
        <v>414</v>
      </c>
      <c r="N193" s="599" t="s">
        <v>414</v>
      </c>
      <c r="O193" s="628"/>
    </row>
    <row r="194" spans="1:15" x14ac:dyDescent="0.15">
      <c r="A194" s="888"/>
      <c r="B194" s="890"/>
      <c r="C194" s="601" t="s">
        <v>414</v>
      </c>
      <c r="D194" s="602" t="s">
        <v>414</v>
      </c>
      <c r="E194" s="603" t="s">
        <v>414</v>
      </c>
      <c r="F194" s="603" t="s">
        <v>414</v>
      </c>
      <c r="G194" s="603" t="s">
        <v>414</v>
      </c>
      <c r="H194" s="612" t="s">
        <v>414</v>
      </c>
      <c r="I194" s="605" t="s">
        <v>414</v>
      </c>
      <c r="J194" s="603" t="s">
        <v>414</v>
      </c>
      <c r="K194" s="603" t="s">
        <v>414</v>
      </c>
      <c r="L194" s="603" t="s">
        <v>414</v>
      </c>
      <c r="M194" s="603" t="s">
        <v>414</v>
      </c>
      <c r="N194" s="606" t="s">
        <v>414</v>
      </c>
      <c r="O194" s="632"/>
    </row>
    <row r="195" spans="1:15" x14ac:dyDescent="0.15">
      <c r="A195" s="888"/>
      <c r="B195" s="890"/>
      <c r="C195" s="608" t="s">
        <v>414</v>
      </c>
      <c r="D195" s="609" t="s">
        <v>414</v>
      </c>
      <c r="E195" s="596" t="s">
        <v>414</v>
      </c>
      <c r="F195" s="596" t="s">
        <v>414</v>
      </c>
      <c r="G195" s="596" t="s">
        <v>414</v>
      </c>
      <c r="H195" s="597" t="s">
        <v>414</v>
      </c>
      <c r="I195" s="598" t="s">
        <v>414</v>
      </c>
      <c r="J195" s="596" t="s">
        <v>414</v>
      </c>
      <c r="K195" s="596" t="s">
        <v>414</v>
      </c>
      <c r="L195" s="611" t="s">
        <v>414</v>
      </c>
      <c r="M195" s="596" t="s">
        <v>414</v>
      </c>
      <c r="N195" s="599" t="s">
        <v>414</v>
      </c>
      <c r="O195" s="633"/>
    </row>
    <row r="196" spans="1:15" ht="15" thickBot="1" x14ac:dyDescent="0.2">
      <c r="A196" s="888"/>
      <c r="B196" s="634" t="s">
        <v>402</v>
      </c>
      <c r="C196" s="635">
        <f>SUM(C170:C195)</f>
        <v>0</v>
      </c>
      <c r="D196" s="636">
        <f t="shared" ref="D196:N196" si="6">SUM(D170:D195)</f>
        <v>0</v>
      </c>
      <c r="E196" s="636">
        <f t="shared" si="6"/>
        <v>0</v>
      </c>
      <c r="F196" s="636">
        <f t="shared" si="6"/>
        <v>0</v>
      </c>
      <c r="G196" s="636">
        <f t="shared" si="6"/>
        <v>0</v>
      </c>
      <c r="H196" s="637">
        <f t="shared" si="6"/>
        <v>0</v>
      </c>
      <c r="I196" s="638">
        <f t="shared" si="6"/>
        <v>0</v>
      </c>
      <c r="J196" s="636">
        <f t="shared" si="6"/>
        <v>173</v>
      </c>
      <c r="K196" s="636">
        <f t="shared" si="6"/>
        <v>0</v>
      </c>
      <c r="L196" s="636">
        <f t="shared" si="6"/>
        <v>400</v>
      </c>
      <c r="M196" s="636">
        <f t="shared" si="6"/>
        <v>542</v>
      </c>
      <c r="N196" s="639">
        <f t="shared" si="6"/>
        <v>1860</v>
      </c>
      <c r="O196" s="640">
        <f>SUM(C196:N196)</f>
        <v>2975</v>
      </c>
    </row>
  </sheetData>
  <mergeCells count="24">
    <mergeCell ref="A35:A61"/>
    <mergeCell ref="B35:B60"/>
    <mergeCell ref="C4:H4"/>
    <mergeCell ref="I4:N4"/>
    <mergeCell ref="O4:O5"/>
    <mergeCell ref="A6:A34"/>
    <mergeCell ref="B6:B33"/>
    <mergeCell ref="A4:B5"/>
    <mergeCell ref="A67:B68"/>
    <mergeCell ref="C67:H67"/>
    <mergeCell ref="I67:N67"/>
    <mergeCell ref="O67:O68"/>
    <mergeCell ref="A69:A97"/>
    <mergeCell ref="B69:B96"/>
    <mergeCell ref="A98:A124"/>
    <mergeCell ref="B98:B123"/>
    <mergeCell ref="A139:B140"/>
    <mergeCell ref="C139:H139"/>
    <mergeCell ref="I139:N139"/>
    <mergeCell ref="O139:O140"/>
    <mergeCell ref="A141:A169"/>
    <mergeCell ref="B141:B168"/>
    <mergeCell ref="A170:A196"/>
    <mergeCell ref="B170:B195"/>
  </mergeCells>
  <phoneticPr fontId="3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R33"/>
  <sheetViews>
    <sheetView workbookViewId="0"/>
  </sheetViews>
  <sheetFormatPr defaultColWidth="9" defaultRowHeight="14.25" x14ac:dyDescent="0.15"/>
  <cols>
    <col min="1" max="16384" width="9" style="474"/>
  </cols>
  <sheetData>
    <row r="1" spans="1:18" x14ac:dyDescent="0.15">
      <c r="A1" s="474" t="s">
        <v>349</v>
      </c>
    </row>
    <row r="2" spans="1:18" ht="17.100000000000001" customHeight="1" x14ac:dyDescent="0.15">
      <c r="A2" s="906" t="s">
        <v>345</v>
      </c>
      <c r="B2" s="906"/>
      <c r="C2" s="495" t="s">
        <v>344</v>
      </c>
      <c r="D2" s="495" t="s">
        <v>325</v>
      </c>
      <c r="E2" s="495" t="s">
        <v>326</v>
      </c>
      <c r="F2" s="495" t="s">
        <v>327</v>
      </c>
      <c r="G2" s="495" t="s">
        <v>328</v>
      </c>
      <c r="H2" s="495" t="s">
        <v>329</v>
      </c>
      <c r="I2" s="495" t="s">
        <v>330</v>
      </c>
      <c r="J2" s="495" t="s">
        <v>331</v>
      </c>
      <c r="K2" s="495" t="s">
        <v>332</v>
      </c>
      <c r="L2" s="495" t="s">
        <v>333</v>
      </c>
      <c r="M2" s="495" t="s">
        <v>140</v>
      </c>
      <c r="N2" s="495" t="s">
        <v>141</v>
      </c>
      <c r="O2" s="495" t="s">
        <v>142</v>
      </c>
      <c r="P2" s="495" t="s">
        <v>143</v>
      </c>
      <c r="Q2" s="495" t="s">
        <v>334</v>
      </c>
      <c r="R2" s="495" t="s">
        <v>335</v>
      </c>
    </row>
    <row r="3" spans="1:18" ht="14.25" customHeight="1" x14ac:dyDescent="0.15">
      <c r="A3" s="906"/>
      <c r="B3" s="906"/>
      <c r="C3" s="483" t="s">
        <v>336</v>
      </c>
      <c r="D3" s="478">
        <f t="shared" ref="D3:I3" si="0">D11+D19-D27</f>
        <v>0</v>
      </c>
      <c r="E3" s="478">
        <f t="shared" si="0"/>
        <v>0</v>
      </c>
      <c r="F3" s="478">
        <f t="shared" si="0"/>
        <v>0</v>
      </c>
      <c r="G3" s="478">
        <f t="shared" si="0"/>
        <v>0</v>
      </c>
      <c r="H3" s="478">
        <f t="shared" si="0"/>
        <v>0</v>
      </c>
      <c r="I3" s="478">
        <f t="shared" si="0"/>
        <v>0</v>
      </c>
      <c r="J3" s="480">
        <f>SUM(D3:I3)</f>
        <v>0</v>
      </c>
      <c r="K3" s="478">
        <f t="shared" ref="K3:P3" si="1">K11+K19-K27</f>
        <v>0</v>
      </c>
      <c r="L3" s="478">
        <f t="shared" si="1"/>
        <v>0</v>
      </c>
      <c r="M3" s="478">
        <f t="shared" si="1"/>
        <v>0</v>
      </c>
      <c r="N3" s="478">
        <f t="shared" si="1"/>
        <v>0</v>
      </c>
      <c r="O3" s="478">
        <f t="shared" si="1"/>
        <v>0</v>
      </c>
      <c r="P3" s="478">
        <f t="shared" si="1"/>
        <v>0</v>
      </c>
      <c r="Q3" s="480">
        <f>SUM(K3:P3)</f>
        <v>0</v>
      </c>
      <c r="R3" s="480">
        <f>Q3+J3</f>
        <v>0</v>
      </c>
    </row>
    <row r="4" spans="1:18" x14ac:dyDescent="0.15">
      <c r="A4" s="906"/>
      <c r="B4" s="906"/>
      <c r="C4" s="484" t="s">
        <v>337</v>
      </c>
      <c r="D4" s="478">
        <f t="shared" ref="D4:I7" si="2">D12+D20-D28</f>
        <v>0</v>
      </c>
      <c r="E4" s="478">
        <f t="shared" si="2"/>
        <v>0</v>
      </c>
      <c r="F4" s="478">
        <f t="shared" si="2"/>
        <v>0</v>
      </c>
      <c r="G4" s="478">
        <f t="shared" si="2"/>
        <v>0</v>
      </c>
      <c r="H4" s="478">
        <f t="shared" si="2"/>
        <v>0</v>
      </c>
      <c r="I4" s="478">
        <f t="shared" si="2"/>
        <v>0</v>
      </c>
      <c r="J4" s="480">
        <f>SUM(D4:I4)</f>
        <v>0</v>
      </c>
      <c r="K4" s="478">
        <f t="shared" ref="K4:L7" si="3">K12+K20-K28</f>
        <v>0</v>
      </c>
      <c r="L4" s="478">
        <f t="shared" si="3"/>
        <v>0</v>
      </c>
      <c r="M4" s="478">
        <f t="shared" ref="M4:P7" si="4">M12+M20-M28</f>
        <v>0</v>
      </c>
      <c r="N4" s="478">
        <f t="shared" si="4"/>
        <v>0</v>
      </c>
      <c r="O4" s="478">
        <f t="shared" si="4"/>
        <v>0</v>
      </c>
      <c r="P4" s="478">
        <f t="shared" si="4"/>
        <v>0</v>
      </c>
      <c r="Q4" s="480">
        <f>SUM(K4:P4)</f>
        <v>0</v>
      </c>
      <c r="R4" s="480">
        <f>Q4+J4</f>
        <v>0</v>
      </c>
    </row>
    <row r="5" spans="1:18" x14ac:dyDescent="0.15">
      <c r="A5" s="906"/>
      <c r="B5" s="906"/>
      <c r="C5" s="484" t="s">
        <v>338</v>
      </c>
      <c r="D5" s="478">
        <f t="shared" si="2"/>
        <v>0</v>
      </c>
      <c r="E5" s="478">
        <f t="shared" si="2"/>
        <v>0</v>
      </c>
      <c r="F5" s="478">
        <f t="shared" si="2"/>
        <v>0</v>
      </c>
      <c r="G5" s="478">
        <f t="shared" si="2"/>
        <v>0</v>
      </c>
      <c r="H5" s="478">
        <f t="shared" si="2"/>
        <v>0</v>
      </c>
      <c r="I5" s="478">
        <f t="shared" si="2"/>
        <v>0</v>
      </c>
      <c r="J5" s="480">
        <f>SUM(D5:I5)</f>
        <v>0</v>
      </c>
      <c r="K5" s="478">
        <f t="shared" si="3"/>
        <v>0</v>
      </c>
      <c r="L5" s="478">
        <f t="shared" si="3"/>
        <v>0</v>
      </c>
      <c r="M5" s="478">
        <f t="shared" si="4"/>
        <v>0</v>
      </c>
      <c r="N5" s="478">
        <f t="shared" si="4"/>
        <v>0</v>
      </c>
      <c r="O5" s="478">
        <f t="shared" si="4"/>
        <v>0</v>
      </c>
      <c r="P5" s="478">
        <f t="shared" si="4"/>
        <v>0</v>
      </c>
      <c r="Q5" s="480">
        <f>SUM(K5:P5)</f>
        <v>0</v>
      </c>
      <c r="R5" s="480">
        <f>Q5+J5</f>
        <v>0</v>
      </c>
    </row>
    <row r="6" spans="1:18" x14ac:dyDescent="0.15">
      <c r="A6" s="906"/>
      <c r="B6" s="906"/>
      <c r="C6" s="484" t="s">
        <v>339</v>
      </c>
      <c r="D6" s="478">
        <f t="shared" si="2"/>
        <v>0</v>
      </c>
      <c r="E6" s="478">
        <f t="shared" si="2"/>
        <v>0</v>
      </c>
      <c r="F6" s="478">
        <f t="shared" si="2"/>
        <v>0</v>
      </c>
      <c r="G6" s="478">
        <f t="shared" si="2"/>
        <v>0</v>
      </c>
      <c r="H6" s="478">
        <f t="shared" si="2"/>
        <v>0</v>
      </c>
      <c r="I6" s="478">
        <f t="shared" si="2"/>
        <v>0</v>
      </c>
      <c r="J6" s="480">
        <f>SUM(D6:I6)</f>
        <v>0</v>
      </c>
      <c r="K6" s="478">
        <f t="shared" si="3"/>
        <v>0</v>
      </c>
      <c r="L6" s="478">
        <f t="shared" si="3"/>
        <v>0</v>
      </c>
      <c r="M6" s="478">
        <f t="shared" si="4"/>
        <v>0</v>
      </c>
      <c r="N6" s="478">
        <f t="shared" si="4"/>
        <v>0</v>
      </c>
      <c r="O6" s="478">
        <f t="shared" si="4"/>
        <v>0</v>
      </c>
      <c r="P6" s="478">
        <f t="shared" si="4"/>
        <v>0</v>
      </c>
      <c r="Q6" s="480">
        <f>SUM(K6:P6)</f>
        <v>0</v>
      </c>
      <c r="R6" s="480">
        <f>Q6+J6</f>
        <v>0</v>
      </c>
    </row>
    <row r="7" spans="1:18" x14ac:dyDescent="0.15">
      <c r="A7" s="906"/>
      <c r="B7" s="906"/>
      <c r="C7" s="485" t="s">
        <v>340</v>
      </c>
      <c r="D7" s="478">
        <f t="shared" si="2"/>
        <v>0</v>
      </c>
      <c r="E7" s="478">
        <f t="shared" si="2"/>
        <v>0</v>
      </c>
      <c r="F7" s="478">
        <f t="shared" si="2"/>
        <v>0</v>
      </c>
      <c r="G7" s="478">
        <f t="shared" si="2"/>
        <v>0</v>
      </c>
      <c r="H7" s="478">
        <f t="shared" si="2"/>
        <v>0</v>
      </c>
      <c r="I7" s="478">
        <f t="shared" si="2"/>
        <v>0</v>
      </c>
      <c r="J7" s="480">
        <f>SUM(D7:I7)</f>
        <v>0</v>
      </c>
      <c r="K7" s="478">
        <f t="shared" si="3"/>
        <v>0</v>
      </c>
      <c r="L7" s="478">
        <f t="shared" si="3"/>
        <v>0</v>
      </c>
      <c r="M7" s="478">
        <f t="shared" si="4"/>
        <v>0</v>
      </c>
      <c r="N7" s="478">
        <f t="shared" si="4"/>
        <v>0</v>
      </c>
      <c r="O7" s="478">
        <f t="shared" si="4"/>
        <v>0</v>
      </c>
      <c r="P7" s="478">
        <f t="shared" si="4"/>
        <v>0</v>
      </c>
      <c r="Q7" s="480">
        <f>SUM(K7:P7)</f>
        <v>0</v>
      </c>
      <c r="R7" s="480">
        <f>Q7+J7</f>
        <v>0</v>
      </c>
    </row>
    <row r="8" spans="1:18" x14ac:dyDescent="0.15">
      <c r="A8" s="907"/>
      <c r="B8" s="907"/>
      <c r="C8" s="486" t="s">
        <v>229</v>
      </c>
      <c r="D8" s="479">
        <f>SUM(D3:D7)</f>
        <v>0</v>
      </c>
      <c r="E8" s="479">
        <f t="shared" ref="E8:R8" si="5">SUM(E3:E7)</f>
        <v>0</v>
      </c>
      <c r="F8" s="479">
        <f t="shared" si="5"/>
        <v>0</v>
      </c>
      <c r="G8" s="479">
        <f t="shared" si="5"/>
        <v>0</v>
      </c>
      <c r="H8" s="479">
        <f t="shared" si="5"/>
        <v>0</v>
      </c>
      <c r="I8" s="479">
        <f t="shared" si="5"/>
        <v>0</v>
      </c>
      <c r="J8" s="480">
        <f t="shared" si="5"/>
        <v>0</v>
      </c>
      <c r="K8" s="479">
        <f>SUM(K3:K7)</f>
        <v>0</v>
      </c>
      <c r="L8" s="479">
        <f t="shared" si="5"/>
        <v>0</v>
      </c>
      <c r="M8" s="479">
        <f t="shared" si="5"/>
        <v>0</v>
      </c>
      <c r="N8" s="479">
        <f t="shared" si="5"/>
        <v>0</v>
      </c>
      <c r="O8" s="479">
        <f t="shared" si="5"/>
        <v>0</v>
      </c>
      <c r="P8" s="479">
        <f t="shared" si="5"/>
        <v>0</v>
      </c>
      <c r="Q8" s="480">
        <f t="shared" si="5"/>
        <v>0</v>
      </c>
      <c r="R8" s="480">
        <f t="shared" si="5"/>
        <v>0</v>
      </c>
    </row>
    <row r="9" spans="1:18" x14ac:dyDescent="0.15">
      <c r="A9" s="476"/>
      <c r="B9" s="476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96"/>
      <c r="P9" s="476"/>
      <c r="Q9" s="476"/>
      <c r="R9" s="476"/>
    </row>
    <row r="10" spans="1:18" x14ac:dyDescent="0.15">
      <c r="A10" s="476"/>
      <c r="B10" s="476"/>
      <c r="C10" s="476"/>
      <c r="D10" s="477"/>
      <c r="E10" s="477"/>
      <c r="F10" s="477"/>
      <c r="G10" s="477"/>
      <c r="H10" s="477"/>
      <c r="I10" s="477"/>
      <c r="J10" s="477"/>
      <c r="K10" s="477"/>
      <c r="L10" s="477"/>
      <c r="M10" s="477"/>
      <c r="N10" s="477"/>
      <c r="O10" s="477"/>
      <c r="P10" s="477"/>
      <c r="Q10" s="477"/>
      <c r="R10" s="477"/>
    </row>
    <row r="11" spans="1:18" x14ac:dyDescent="0.15">
      <c r="A11" s="902" t="s">
        <v>341</v>
      </c>
      <c r="B11" s="903"/>
      <c r="C11" s="483" t="s">
        <v>336</v>
      </c>
      <c r="D11" s="487"/>
      <c r="E11" s="488"/>
      <c r="F11" s="488"/>
      <c r="G11" s="487"/>
      <c r="H11" s="487"/>
      <c r="I11" s="487"/>
      <c r="J11" s="481">
        <f>SUM(D11:I11)</f>
        <v>0</v>
      </c>
      <c r="K11" s="487"/>
      <c r="L11" s="487"/>
      <c r="M11" s="487"/>
      <c r="N11" s="487"/>
      <c r="O11" s="487"/>
      <c r="P11" s="487"/>
      <c r="Q11" s="481">
        <f>SUM(K11:P11)</f>
        <v>0</v>
      </c>
      <c r="R11" s="481">
        <f>Q11+J11</f>
        <v>0</v>
      </c>
    </row>
    <row r="12" spans="1:18" x14ac:dyDescent="0.15">
      <c r="A12" s="904"/>
      <c r="B12" s="904"/>
      <c r="C12" s="484" t="s">
        <v>337</v>
      </c>
      <c r="D12" s="489"/>
      <c r="E12" s="490"/>
      <c r="F12" s="490"/>
      <c r="G12" s="489"/>
      <c r="H12" s="489"/>
      <c r="I12" s="489"/>
      <c r="J12" s="482">
        <f>SUM(D12:I12)</f>
        <v>0</v>
      </c>
      <c r="K12" s="489"/>
      <c r="L12" s="489"/>
      <c r="M12" s="489"/>
      <c r="N12" s="489"/>
      <c r="O12" s="489"/>
      <c r="P12" s="489"/>
      <c r="Q12" s="482">
        <f>SUM(K12:P12)</f>
        <v>0</v>
      </c>
      <c r="R12" s="482">
        <f>Q12+J12</f>
        <v>0</v>
      </c>
    </row>
    <row r="13" spans="1:18" x14ac:dyDescent="0.15">
      <c r="A13" s="904"/>
      <c r="B13" s="904"/>
      <c r="C13" s="484" t="s">
        <v>338</v>
      </c>
      <c r="D13" s="489"/>
      <c r="E13" s="490"/>
      <c r="F13" s="490"/>
      <c r="G13" s="489"/>
      <c r="H13" s="489"/>
      <c r="I13" s="489"/>
      <c r="J13" s="482">
        <f>SUM(D13:I13)</f>
        <v>0</v>
      </c>
      <c r="K13" s="489"/>
      <c r="L13" s="489"/>
      <c r="M13" s="489"/>
      <c r="N13" s="489"/>
      <c r="O13" s="489"/>
      <c r="P13" s="489"/>
      <c r="Q13" s="482">
        <f>SUM(K13:P13)</f>
        <v>0</v>
      </c>
      <c r="R13" s="482">
        <f>Q13+J13</f>
        <v>0</v>
      </c>
    </row>
    <row r="14" spans="1:18" x14ac:dyDescent="0.15">
      <c r="A14" s="904"/>
      <c r="B14" s="904"/>
      <c r="C14" s="484" t="s">
        <v>339</v>
      </c>
      <c r="D14" s="489"/>
      <c r="E14" s="490"/>
      <c r="F14" s="490"/>
      <c r="G14" s="489"/>
      <c r="H14" s="489"/>
      <c r="I14" s="489"/>
      <c r="J14" s="482">
        <f>SUM(D14:I14)</f>
        <v>0</v>
      </c>
      <c r="K14" s="489"/>
      <c r="L14" s="489"/>
      <c r="M14" s="489"/>
      <c r="N14" s="489"/>
      <c r="O14" s="489"/>
      <c r="P14" s="489"/>
      <c r="Q14" s="482">
        <f>SUM(K14:P14)</f>
        <v>0</v>
      </c>
      <c r="R14" s="482">
        <f>Q14+J14</f>
        <v>0</v>
      </c>
    </row>
    <row r="15" spans="1:18" x14ac:dyDescent="0.15">
      <c r="A15" s="904"/>
      <c r="B15" s="904"/>
      <c r="C15" s="485" t="s">
        <v>340</v>
      </c>
      <c r="D15" s="491"/>
      <c r="E15" s="492"/>
      <c r="F15" s="492"/>
      <c r="G15" s="489"/>
      <c r="H15" s="489"/>
      <c r="I15" s="489"/>
      <c r="J15" s="482">
        <f>SUM(D15:I15)</f>
        <v>0</v>
      </c>
      <c r="K15" s="489"/>
      <c r="L15" s="489"/>
      <c r="M15" s="489"/>
      <c r="N15" s="489"/>
      <c r="O15" s="489"/>
      <c r="P15" s="489"/>
      <c r="Q15" s="482">
        <f>SUM(K15:P15)</f>
        <v>0</v>
      </c>
      <c r="R15" s="482">
        <f>Q15+J15</f>
        <v>0</v>
      </c>
    </row>
    <row r="16" spans="1:18" x14ac:dyDescent="0.15">
      <c r="A16" s="905"/>
      <c r="B16" s="905"/>
      <c r="C16" s="493" t="s">
        <v>229</v>
      </c>
      <c r="D16" s="475">
        <f>SUM(D11:D15)</f>
        <v>0</v>
      </c>
      <c r="E16" s="475">
        <f t="shared" ref="E16:J16" si="6">SUM(E11:E15)</f>
        <v>0</v>
      </c>
      <c r="F16" s="475">
        <f t="shared" si="6"/>
        <v>0</v>
      </c>
      <c r="G16" s="475">
        <f t="shared" si="6"/>
        <v>0</v>
      </c>
      <c r="H16" s="475">
        <f t="shared" si="6"/>
        <v>0</v>
      </c>
      <c r="I16" s="475">
        <f t="shared" si="6"/>
        <v>0</v>
      </c>
      <c r="J16" s="475">
        <f t="shared" si="6"/>
        <v>0</v>
      </c>
      <c r="K16" s="475">
        <f>SUM(K11:K15)</f>
        <v>0</v>
      </c>
      <c r="L16" s="475">
        <f t="shared" ref="L16:R16" si="7">SUM(L11:L15)</f>
        <v>0</v>
      </c>
      <c r="M16" s="475">
        <f t="shared" si="7"/>
        <v>0</v>
      </c>
      <c r="N16" s="475">
        <f t="shared" si="7"/>
        <v>0</v>
      </c>
      <c r="O16" s="475">
        <f t="shared" si="7"/>
        <v>0</v>
      </c>
      <c r="P16" s="475">
        <f t="shared" si="7"/>
        <v>0</v>
      </c>
      <c r="Q16" s="475">
        <f t="shared" si="7"/>
        <v>0</v>
      </c>
      <c r="R16" s="475">
        <f t="shared" si="7"/>
        <v>0</v>
      </c>
    </row>
    <row r="17" spans="1:18" x14ac:dyDescent="0.15">
      <c r="A17" s="476"/>
      <c r="B17" s="4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</row>
    <row r="18" spans="1:18" x14ac:dyDescent="0.15">
      <c r="A18" s="476"/>
      <c r="B18" s="4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</row>
    <row r="19" spans="1:18" x14ac:dyDescent="0.15">
      <c r="A19" s="902" t="s">
        <v>342</v>
      </c>
      <c r="B19" s="903"/>
      <c r="C19" s="483" t="s">
        <v>336</v>
      </c>
      <c r="D19" s="487"/>
      <c r="E19" s="488"/>
      <c r="F19" s="488"/>
      <c r="G19" s="487"/>
      <c r="H19" s="487"/>
      <c r="I19" s="487"/>
      <c r="J19" s="481">
        <f>SUM(D19:I19)</f>
        <v>0</v>
      </c>
      <c r="K19" s="487"/>
      <c r="L19" s="487"/>
      <c r="M19" s="487"/>
      <c r="N19" s="487"/>
      <c r="O19" s="487"/>
      <c r="P19" s="487"/>
      <c r="Q19" s="481">
        <f>SUM(K19:P19)</f>
        <v>0</v>
      </c>
      <c r="R19" s="481">
        <f>Q19+J19</f>
        <v>0</v>
      </c>
    </row>
    <row r="20" spans="1:18" x14ac:dyDescent="0.15">
      <c r="A20" s="904"/>
      <c r="B20" s="904"/>
      <c r="C20" s="484" t="s">
        <v>337</v>
      </c>
      <c r="D20" s="489"/>
      <c r="E20" s="490"/>
      <c r="F20" s="490"/>
      <c r="G20" s="489"/>
      <c r="H20" s="489"/>
      <c r="I20" s="489"/>
      <c r="J20" s="482">
        <f>SUM(D20:I20)</f>
        <v>0</v>
      </c>
      <c r="K20" s="489"/>
      <c r="L20" s="489"/>
      <c r="M20" s="489"/>
      <c r="N20" s="489"/>
      <c r="O20" s="489"/>
      <c r="P20" s="489"/>
      <c r="Q20" s="482">
        <f>SUM(K20:P20)</f>
        <v>0</v>
      </c>
      <c r="R20" s="482">
        <f>Q20+J20</f>
        <v>0</v>
      </c>
    </row>
    <row r="21" spans="1:18" x14ac:dyDescent="0.15">
      <c r="A21" s="904"/>
      <c r="B21" s="904"/>
      <c r="C21" s="484" t="s">
        <v>338</v>
      </c>
      <c r="D21" s="489"/>
      <c r="E21" s="490"/>
      <c r="F21" s="490"/>
      <c r="G21" s="489"/>
      <c r="H21" s="489"/>
      <c r="I21" s="489"/>
      <c r="J21" s="482">
        <f>SUM(D21:I21)</f>
        <v>0</v>
      </c>
      <c r="K21" s="489"/>
      <c r="L21" s="489"/>
      <c r="M21" s="489"/>
      <c r="N21" s="489"/>
      <c r="O21" s="489"/>
      <c r="P21" s="489"/>
      <c r="Q21" s="482">
        <f>SUM(K21:P21)</f>
        <v>0</v>
      </c>
      <c r="R21" s="482">
        <f>Q21+J21</f>
        <v>0</v>
      </c>
    </row>
    <row r="22" spans="1:18" x14ac:dyDescent="0.15">
      <c r="A22" s="904"/>
      <c r="B22" s="904"/>
      <c r="C22" s="484" t="s">
        <v>339</v>
      </c>
      <c r="D22" s="489"/>
      <c r="E22" s="490"/>
      <c r="F22" s="490"/>
      <c r="G22" s="489"/>
      <c r="H22" s="489"/>
      <c r="I22" s="489"/>
      <c r="J22" s="482">
        <f>SUM(D22:I22)</f>
        <v>0</v>
      </c>
      <c r="K22" s="489"/>
      <c r="L22" s="489"/>
      <c r="M22" s="489"/>
      <c r="N22" s="489"/>
      <c r="O22" s="489"/>
      <c r="P22" s="489"/>
      <c r="Q22" s="482">
        <f>SUM(K22:P22)</f>
        <v>0</v>
      </c>
      <c r="R22" s="482">
        <f>Q22+J22</f>
        <v>0</v>
      </c>
    </row>
    <row r="23" spans="1:18" x14ac:dyDescent="0.15">
      <c r="A23" s="904"/>
      <c r="B23" s="904"/>
      <c r="C23" s="485" t="s">
        <v>340</v>
      </c>
      <c r="D23" s="491"/>
      <c r="E23" s="492"/>
      <c r="F23" s="492"/>
      <c r="G23" s="489"/>
      <c r="H23" s="489"/>
      <c r="I23" s="489"/>
      <c r="J23" s="482">
        <f>SUM(D23:I23)</f>
        <v>0</v>
      </c>
      <c r="K23" s="489"/>
      <c r="L23" s="489"/>
      <c r="M23" s="489"/>
      <c r="N23" s="489"/>
      <c r="O23" s="489"/>
      <c r="P23" s="489"/>
      <c r="Q23" s="482">
        <f>SUM(K23:P23)</f>
        <v>0</v>
      </c>
      <c r="R23" s="482">
        <f>Q23+J23</f>
        <v>0</v>
      </c>
    </row>
    <row r="24" spans="1:18" x14ac:dyDescent="0.15">
      <c r="A24" s="905"/>
      <c r="B24" s="905"/>
      <c r="C24" s="493" t="s">
        <v>229</v>
      </c>
      <c r="D24" s="475">
        <f>SUM(D19:D23)</f>
        <v>0</v>
      </c>
      <c r="E24" s="475">
        <f t="shared" ref="E24:J24" si="8">SUM(E19:E23)</f>
        <v>0</v>
      </c>
      <c r="F24" s="475">
        <f t="shared" si="8"/>
        <v>0</v>
      </c>
      <c r="G24" s="475">
        <f t="shared" si="8"/>
        <v>0</v>
      </c>
      <c r="H24" s="475">
        <f t="shared" si="8"/>
        <v>0</v>
      </c>
      <c r="I24" s="475">
        <f t="shared" si="8"/>
        <v>0</v>
      </c>
      <c r="J24" s="475">
        <f t="shared" si="8"/>
        <v>0</v>
      </c>
      <c r="K24" s="475">
        <f>SUM(K19:K23)</f>
        <v>0</v>
      </c>
      <c r="L24" s="475">
        <f t="shared" ref="L24:R24" si="9">SUM(L19:L23)</f>
        <v>0</v>
      </c>
      <c r="M24" s="475">
        <f t="shared" si="9"/>
        <v>0</v>
      </c>
      <c r="N24" s="475">
        <f t="shared" si="9"/>
        <v>0</v>
      </c>
      <c r="O24" s="475">
        <f t="shared" si="9"/>
        <v>0</v>
      </c>
      <c r="P24" s="475">
        <f t="shared" si="9"/>
        <v>0</v>
      </c>
      <c r="Q24" s="475">
        <f t="shared" si="9"/>
        <v>0</v>
      </c>
      <c r="R24" s="475">
        <f t="shared" si="9"/>
        <v>0</v>
      </c>
    </row>
    <row r="25" spans="1:18" x14ac:dyDescent="0.15">
      <c r="A25" s="476"/>
      <c r="B25" s="4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</row>
    <row r="26" spans="1:18" x14ac:dyDescent="0.15">
      <c r="A26" s="476"/>
      <c r="B26" s="476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</row>
    <row r="27" spans="1:18" x14ac:dyDescent="0.15">
      <c r="A27" s="902" t="s">
        <v>343</v>
      </c>
      <c r="B27" s="903"/>
      <c r="C27" s="483" t="s">
        <v>336</v>
      </c>
      <c r="D27" s="487"/>
      <c r="E27" s="488"/>
      <c r="F27" s="488"/>
      <c r="G27" s="487"/>
      <c r="H27" s="487"/>
      <c r="I27" s="487"/>
      <c r="J27" s="481">
        <f>SUM(D27:I27)</f>
        <v>0</v>
      </c>
      <c r="K27" s="487"/>
      <c r="L27" s="487"/>
      <c r="M27" s="487"/>
      <c r="N27" s="487"/>
      <c r="O27" s="487"/>
      <c r="P27" s="487"/>
      <c r="Q27" s="481">
        <f>SUM(K27:P27)</f>
        <v>0</v>
      </c>
      <c r="R27" s="481">
        <f>Q27+J27</f>
        <v>0</v>
      </c>
    </row>
    <row r="28" spans="1:18" x14ac:dyDescent="0.15">
      <c r="A28" s="904"/>
      <c r="B28" s="904"/>
      <c r="C28" s="484" t="s">
        <v>337</v>
      </c>
      <c r="D28" s="489"/>
      <c r="E28" s="490"/>
      <c r="F28" s="490"/>
      <c r="G28" s="489"/>
      <c r="H28" s="489"/>
      <c r="I28" s="489"/>
      <c r="J28" s="482">
        <f>SUM(D28:I28)</f>
        <v>0</v>
      </c>
      <c r="K28" s="489"/>
      <c r="L28" s="489"/>
      <c r="M28" s="489"/>
      <c r="N28" s="489"/>
      <c r="O28" s="489"/>
      <c r="P28" s="489"/>
      <c r="Q28" s="482">
        <f>SUM(K28:P28)</f>
        <v>0</v>
      </c>
      <c r="R28" s="482">
        <f>Q28+J28</f>
        <v>0</v>
      </c>
    </row>
    <row r="29" spans="1:18" x14ac:dyDescent="0.15">
      <c r="A29" s="904"/>
      <c r="B29" s="904"/>
      <c r="C29" s="484" t="s">
        <v>338</v>
      </c>
      <c r="D29" s="489"/>
      <c r="E29" s="490"/>
      <c r="F29" s="490"/>
      <c r="G29" s="489"/>
      <c r="H29" s="489"/>
      <c r="I29" s="489"/>
      <c r="J29" s="482">
        <f>SUM(D29:I29)</f>
        <v>0</v>
      </c>
      <c r="K29" s="489"/>
      <c r="L29" s="489"/>
      <c r="M29" s="489"/>
      <c r="N29" s="489"/>
      <c r="O29" s="489"/>
      <c r="P29" s="489"/>
      <c r="Q29" s="482">
        <f>SUM(K29:P29)</f>
        <v>0</v>
      </c>
      <c r="R29" s="482">
        <f>Q29+J29</f>
        <v>0</v>
      </c>
    </row>
    <row r="30" spans="1:18" x14ac:dyDescent="0.15">
      <c r="A30" s="904"/>
      <c r="B30" s="904"/>
      <c r="C30" s="484" t="s">
        <v>339</v>
      </c>
      <c r="D30" s="489"/>
      <c r="E30" s="490"/>
      <c r="F30" s="490"/>
      <c r="G30" s="489"/>
      <c r="H30" s="489"/>
      <c r="I30" s="489"/>
      <c r="J30" s="482">
        <f>SUM(D30:I30)</f>
        <v>0</v>
      </c>
      <c r="K30" s="489"/>
      <c r="L30" s="489"/>
      <c r="M30" s="489"/>
      <c r="N30" s="489"/>
      <c r="O30" s="489"/>
      <c r="P30" s="489"/>
      <c r="Q30" s="482">
        <f>SUM(K30:P30)</f>
        <v>0</v>
      </c>
      <c r="R30" s="482">
        <f>Q30+J30</f>
        <v>0</v>
      </c>
    </row>
    <row r="31" spans="1:18" x14ac:dyDescent="0.15">
      <c r="A31" s="904"/>
      <c r="B31" s="904"/>
      <c r="C31" s="485" t="s">
        <v>340</v>
      </c>
      <c r="D31" s="491"/>
      <c r="E31" s="492"/>
      <c r="F31" s="492"/>
      <c r="G31" s="489"/>
      <c r="H31" s="489"/>
      <c r="I31" s="489"/>
      <c r="J31" s="482">
        <f>SUM(D31:I31)</f>
        <v>0</v>
      </c>
      <c r="K31" s="489"/>
      <c r="L31" s="489"/>
      <c r="M31" s="489"/>
      <c r="N31" s="489"/>
      <c r="O31" s="489"/>
      <c r="P31" s="489"/>
      <c r="Q31" s="482">
        <f>SUM(K31:P31)</f>
        <v>0</v>
      </c>
      <c r="R31" s="482">
        <f>Q31+J31</f>
        <v>0</v>
      </c>
    </row>
    <row r="32" spans="1:18" x14ac:dyDescent="0.15">
      <c r="A32" s="905"/>
      <c r="B32" s="905"/>
      <c r="C32" s="493" t="s">
        <v>229</v>
      </c>
      <c r="D32" s="475">
        <f>SUM(D27:D31)</f>
        <v>0</v>
      </c>
      <c r="E32" s="475">
        <f t="shared" ref="E32:J32" si="10">SUM(E27:E31)</f>
        <v>0</v>
      </c>
      <c r="F32" s="475">
        <f t="shared" si="10"/>
        <v>0</v>
      </c>
      <c r="G32" s="475">
        <f t="shared" si="10"/>
        <v>0</v>
      </c>
      <c r="H32" s="475">
        <f t="shared" si="10"/>
        <v>0</v>
      </c>
      <c r="I32" s="475">
        <f t="shared" si="10"/>
        <v>0</v>
      </c>
      <c r="J32" s="475">
        <f t="shared" si="10"/>
        <v>0</v>
      </c>
      <c r="K32" s="475">
        <f>SUM(K27:K31)</f>
        <v>0</v>
      </c>
      <c r="L32" s="475">
        <f t="shared" ref="L32:R32" si="11">SUM(L27:L31)</f>
        <v>0</v>
      </c>
      <c r="M32" s="475">
        <f t="shared" si="11"/>
        <v>0</v>
      </c>
      <c r="N32" s="475">
        <f t="shared" si="11"/>
        <v>0</v>
      </c>
      <c r="O32" s="475">
        <f t="shared" si="11"/>
        <v>0</v>
      </c>
      <c r="P32" s="475">
        <f t="shared" si="11"/>
        <v>0</v>
      </c>
      <c r="Q32" s="475">
        <f t="shared" si="11"/>
        <v>0</v>
      </c>
      <c r="R32" s="475">
        <f t="shared" si="11"/>
        <v>0</v>
      </c>
    </row>
    <row r="33" spans="3:18" x14ac:dyDescent="0.15">
      <c r="C33" s="494"/>
      <c r="D33" s="494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494"/>
      <c r="P33" s="494"/>
      <c r="Q33" s="494"/>
      <c r="R33" s="494"/>
    </row>
  </sheetData>
  <mergeCells count="4">
    <mergeCell ref="A11:B16"/>
    <mergeCell ref="A19:B24"/>
    <mergeCell ref="A27:B32"/>
    <mergeCell ref="A2:B8"/>
  </mergeCells>
  <phoneticPr fontId="38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FF0000"/>
  </sheetPr>
  <dimension ref="A1:E46"/>
  <sheetViews>
    <sheetView workbookViewId="0"/>
  </sheetViews>
  <sheetFormatPr defaultRowHeight="14.25" x14ac:dyDescent="0.15"/>
  <sheetData>
    <row r="1" spans="1:5" x14ac:dyDescent="0.15">
      <c r="A1" s="401" t="s">
        <v>230</v>
      </c>
      <c r="B1" s="401"/>
      <c r="C1" s="401"/>
      <c r="D1" s="401"/>
      <c r="E1" s="401"/>
    </row>
    <row r="2" spans="1:5" x14ac:dyDescent="0.15">
      <c r="A2" s="401"/>
      <c r="B2" s="401"/>
      <c r="C2" s="401"/>
      <c r="D2" s="401"/>
      <c r="E2" s="401"/>
    </row>
    <row r="3" spans="1:5" x14ac:dyDescent="0.15">
      <c r="A3" s="401" t="s">
        <v>231</v>
      </c>
      <c r="B3" s="401"/>
      <c r="C3" s="401"/>
      <c r="D3" s="401"/>
      <c r="E3" s="401"/>
    </row>
    <row r="4" spans="1:5" x14ac:dyDescent="0.15">
      <c r="A4" s="401"/>
      <c r="B4" s="401"/>
      <c r="C4" s="401"/>
      <c r="D4" s="401"/>
      <c r="E4" s="401"/>
    </row>
    <row r="5" spans="1:5" x14ac:dyDescent="0.15">
      <c r="A5" s="401" t="s">
        <v>232</v>
      </c>
      <c r="B5" s="401"/>
      <c r="C5" s="401"/>
      <c r="D5" s="401"/>
      <c r="E5" s="401"/>
    </row>
    <row r="6" spans="1:5" x14ac:dyDescent="0.15">
      <c r="A6" s="401"/>
      <c r="B6" s="401" t="s">
        <v>233</v>
      </c>
      <c r="C6" s="401"/>
      <c r="D6" s="401"/>
      <c r="E6" s="401"/>
    </row>
    <row r="7" spans="1:5" x14ac:dyDescent="0.15">
      <c r="A7" s="401"/>
      <c r="B7" s="401" t="s">
        <v>234</v>
      </c>
      <c r="C7" s="401"/>
      <c r="D7" s="401"/>
      <c r="E7" s="401"/>
    </row>
    <row r="8" spans="1:5" x14ac:dyDescent="0.15">
      <c r="A8" s="401"/>
      <c r="B8" s="401" t="s">
        <v>235</v>
      </c>
      <c r="C8" s="401"/>
      <c r="D8" s="401"/>
      <c r="E8" s="401"/>
    </row>
    <row r="9" spans="1:5" x14ac:dyDescent="0.15">
      <c r="A9" s="401"/>
      <c r="B9" s="401" t="s">
        <v>236</v>
      </c>
      <c r="C9" s="401"/>
      <c r="D9" s="401"/>
      <c r="E9" s="401"/>
    </row>
    <row r="10" spans="1:5" x14ac:dyDescent="0.15">
      <c r="A10" s="401"/>
      <c r="B10" s="401" t="s">
        <v>237</v>
      </c>
      <c r="C10" s="401"/>
      <c r="D10" s="401"/>
      <c r="E10" s="401"/>
    </row>
    <row r="11" spans="1:5" x14ac:dyDescent="0.15">
      <c r="A11" s="401"/>
      <c r="B11" s="401" t="s">
        <v>238</v>
      </c>
      <c r="C11" s="401"/>
      <c r="D11" s="401"/>
      <c r="E11" s="401"/>
    </row>
    <row r="12" spans="1:5" x14ac:dyDescent="0.15">
      <c r="A12" s="401"/>
      <c r="B12" s="401" t="s">
        <v>239</v>
      </c>
      <c r="C12" s="401"/>
      <c r="D12" s="401"/>
      <c r="E12" s="401"/>
    </row>
    <row r="13" spans="1:5" x14ac:dyDescent="0.15">
      <c r="A13" s="401"/>
      <c r="B13" s="401" t="s">
        <v>240</v>
      </c>
      <c r="C13" s="401"/>
      <c r="D13" s="401"/>
      <c r="E13" s="401"/>
    </row>
    <row r="14" spans="1:5" x14ac:dyDescent="0.15">
      <c r="A14" s="401"/>
      <c r="B14" s="401"/>
      <c r="C14" s="401"/>
      <c r="D14" s="401"/>
      <c r="E14" s="401"/>
    </row>
    <row r="15" spans="1:5" x14ac:dyDescent="0.15">
      <c r="A15" s="401" t="s">
        <v>241</v>
      </c>
      <c r="B15" s="401"/>
      <c r="C15" s="401"/>
      <c r="D15" s="401"/>
      <c r="E15" s="401"/>
    </row>
    <row r="16" spans="1:5" x14ac:dyDescent="0.15">
      <c r="A16" s="401"/>
      <c r="B16" s="401" t="s">
        <v>242</v>
      </c>
      <c r="C16" s="401"/>
      <c r="D16" s="401"/>
      <c r="E16" s="401"/>
    </row>
    <row r="17" spans="1:5" x14ac:dyDescent="0.15">
      <c r="A17" s="401"/>
      <c r="B17" s="401" t="s">
        <v>243</v>
      </c>
      <c r="C17" s="401"/>
      <c r="D17" s="401"/>
      <c r="E17" s="401"/>
    </row>
    <row r="18" spans="1:5" x14ac:dyDescent="0.15">
      <c r="A18" s="401"/>
      <c r="B18" s="401" t="s">
        <v>244</v>
      </c>
      <c r="C18" s="401"/>
      <c r="D18" s="401"/>
      <c r="E18" s="401"/>
    </row>
    <row r="19" spans="1:5" x14ac:dyDescent="0.15">
      <c r="A19" s="401"/>
      <c r="B19" s="401" t="s">
        <v>245</v>
      </c>
      <c r="C19" s="401"/>
      <c r="D19" s="401"/>
      <c r="E19" s="401"/>
    </row>
    <row r="20" spans="1:5" x14ac:dyDescent="0.15">
      <c r="A20" s="401"/>
      <c r="B20" s="401" t="s">
        <v>246</v>
      </c>
      <c r="C20" s="401"/>
      <c r="D20" s="401"/>
      <c r="E20" s="401"/>
    </row>
    <row r="21" spans="1:5" x14ac:dyDescent="0.15">
      <c r="A21" s="401"/>
      <c r="B21" s="401" t="s">
        <v>247</v>
      </c>
      <c r="C21" s="401"/>
      <c r="D21" s="401"/>
      <c r="E21" s="401"/>
    </row>
    <row r="22" spans="1:5" x14ac:dyDescent="0.15">
      <c r="A22" s="401"/>
      <c r="B22" s="401" t="s">
        <v>248</v>
      </c>
      <c r="C22" s="401"/>
      <c r="D22" s="401"/>
      <c r="E22" s="401"/>
    </row>
    <row r="23" spans="1:5" x14ac:dyDescent="0.15">
      <c r="A23" s="401"/>
      <c r="B23" s="401" t="s">
        <v>249</v>
      </c>
      <c r="C23" s="401"/>
      <c r="D23" s="401"/>
      <c r="E23" s="401"/>
    </row>
    <row r="24" spans="1:5" x14ac:dyDescent="0.15">
      <c r="A24" s="401"/>
      <c r="B24" s="401" t="s">
        <v>250</v>
      </c>
      <c r="C24" s="401"/>
      <c r="D24" s="401"/>
      <c r="E24" s="401"/>
    </row>
    <row r="25" spans="1:5" x14ac:dyDescent="0.15">
      <c r="A25" s="401"/>
      <c r="B25" s="401" t="s">
        <v>251</v>
      </c>
      <c r="C25" s="401"/>
      <c r="D25" s="401"/>
      <c r="E25" s="401"/>
    </row>
    <row r="26" spans="1:5" x14ac:dyDescent="0.15">
      <c r="A26" s="401"/>
      <c r="B26" s="401" t="s">
        <v>252</v>
      </c>
      <c r="C26" s="401"/>
      <c r="D26" s="401"/>
      <c r="E26" s="401"/>
    </row>
    <row r="27" spans="1:5" x14ac:dyDescent="0.15">
      <c r="A27" s="401"/>
      <c r="B27" s="401" t="s">
        <v>249</v>
      </c>
      <c r="C27" s="401"/>
      <c r="D27" s="401"/>
      <c r="E27" s="401"/>
    </row>
    <row r="28" spans="1:5" x14ac:dyDescent="0.15">
      <c r="A28" s="401"/>
      <c r="B28" s="401"/>
      <c r="C28" s="401"/>
      <c r="D28" s="401"/>
      <c r="E28" s="401"/>
    </row>
    <row r="29" spans="1:5" x14ac:dyDescent="0.15">
      <c r="A29" s="401" t="s">
        <v>253</v>
      </c>
      <c r="B29" s="401"/>
      <c r="C29" s="401"/>
      <c r="D29" s="401"/>
      <c r="E29" s="401"/>
    </row>
    <row r="30" spans="1:5" x14ac:dyDescent="0.15">
      <c r="A30" s="401"/>
      <c r="B30" s="401" t="s">
        <v>254</v>
      </c>
      <c r="C30" s="401"/>
      <c r="D30" s="401"/>
      <c r="E30" s="401"/>
    </row>
    <row r="31" spans="1:5" x14ac:dyDescent="0.15">
      <c r="A31" s="401"/>
      <c r="B31" s="401" t="s">
        <v>255</v>
      </c>
      <c r="C31" s="401"/>
      <c r="D31" s="401"/>
      <c r="E31" s="401"/>
    </row>
    <row r="32" spans="1:5" x14ac:dyDescent="0.15">
      <c r="A32" s="401"/>
      <c r="B32" s="401" t="s">
        <v>256</v>
      </c>
      <c r="C32" s="401"/>
      <c r="D32" s="401"/>
      <c r="E32" s="401"/>
    </row>
    <row r="33" spans="1:5" x14ac:dyDescent="0.15">
      <c r="A33" s="401"/>
      <c r="B33" s="401" t="s">
        <v>257</v>
      </c>
      <c r="C33" s="401"/>
      <c r="D33" s="401"/>
      <c r="E33" s="401"/>
    </row>
    <row r="34" spans="1:5" x14ac:dyDescent="0.15">
      <c r="A34" s="401"/>
      <c r="B34" s="401" t="s">
        <v>258</v>
      </c>
      <c r="C34" s="401"/>
      <c r="D34" s="401"/>
      <c r="E34" s="401"/>
    </row>
    <row r="35" spans="1:5" x14ac:dyDescent="0.15">
      <c r="A35" s="401"/>
      <c r="B35" s="401" t="s">
        <v>259</v>
      </c>
      <c r="C35" s="401"/>
      <c r="D35" s="401"/>
      <c r="E35" s="401"/>
    </row>
    <row r="36" spans="1:5" x14ac:dyDescent="0.15">
      <c r="A36" s="401"/>
      <c r="B36" s="401" t="s">
        <v>260</v>
      </c>
      <c r="C36" s="401"/>
      <c r="D36" s="401"/>
      <c r="E36" s="401"/>
    </row>
    <row r="37" spans="1:5" x14ac:dyDescent="0.15">
      <c r="A37" s="401"/>
      <c r="B37" s="401" t="s">
        <v>261</v>
      </c>
      <c r="C37" s="401"/>
      <c r="D37" s="401"/>
      <c r="E37" s="401"/>
    </row>
    <row r="38" spans="1:5" x14ac:dyDescent="0.15">
      <c r="A38" s="401"/>
      <c r="B38" s="401" t="s">
        <v>262</v>
      </c>
      <c r="C38" s="401"/>
      <c r="D38" s="401"/>
      <c r="E38" s="401"/>
    </row>
    <row r="39" spans="1:5" x14ac:dyDescent="0.15">
      <c r="A39" s="401"/>
      <c r="B39" s="401" t="s">
        <v>263</v>
      </c>
      <c r="C39" s="401"/>
      <c r="D39" s="401"/>
      <c r="E39" s="401"/>
    </row>
    <row r="40" spans="1:5" x14ac:dyDescent="0.15">
      <c r="A40" s="401"/>
      <c r="B40" s="401" t="s">
        <v>264</v>
      </c>
      <c r="C40" s="401"/>
      <c r="D40" s="401"/>
      <c r="E40" s="401"/>
    </row>
    <row r="41" spans="1:5" x14ac:dyDescent="0.15">
      <c r="A41" s="401"/>
      <c r="B41" s="401" t="s">
        <v>265</v>
      </c>
      <c r="C41" s="401"/>
      <c r="D41" s="401"/>
      <c r="E41" s="401"/>
    </row>
    <row r="42" spans="1:5" x14ac:dyDescent="0.15">
      <c r="A42" s="401"/>
      <c r="B42" s="401" t="s">
        <v>266</v>
      </c>
      <c r="C42" s="401"/>
      <c r="D42" s="401"/>
      <c r="E42" s="401"/>
    </row>
    <row r="43" spans="1:5" x14ac:dyDescent="0.15">
      <c r="A43" s="401"/>
      <c r="B43" s="401"/>
      <c r="C43" s="401"/>
      <c r="D43" s="401"/>
      <c r="E43" s="401"/>
    </row>
    <row r="44" spans="1:5" x14ac:dyDescent="0.15">
      <c r="A44" s="401" t="s">
        <v>267</v>
      </c>
      <c r="B44" s="401"/>
      <c r="C44" s="401"/>
      <c r="D44" s="401"/>
      <c r="E44" s="401"/>
    </row>
    <row r="45" spans="1:5" x14ac:dyDescent="0.15">
      <c r="A45" s="401"/>
      <c r="B45" s="401" t="s">
        <v>268</v>
      </c>
      <c r="C45" s="401"/>
      <c r="D45" s="401"/>
      <c r="E45" s="401"/>
    </row>
    <row r="46" spans="1:5" x14ac:dyDescent="0.15">
      <c r="A46" s="401"/>
      <c r="B46" s="401" t="s">
        <v>269</v>
      </c>
      <c r="C46" s="401"/>
      <c r="D46" s="401"/>
      <c r="E46" s="401"/>
    </row>
  </sheetData>
  <phoneticPr fontId="3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D6:G9"/>
  <sheetViews>
    <sheetView workbookViewId="0"/>
  </sheetViews>
  <sheetFormatPr defaultRowHeight="14.25" x14ac:dyDescent="0.15"/>
  <cols>
    <col min="4" max="4" width="4.25" customWidth="1"/>
    <col min="5" max="7" width="11.125" customWidth="1"/>
  </cols>
  <sheetData>
    <row r="6" spans="4:7" ht="20.25" customHeight="1" x14ac:dyDescent="0.15">
      <c r="D6" s="908" t="s">
        <v>319</v>
      </c>
      <c r="E6" s="471" t="s">
        <v>320</v>
      </c>
      <c r="F6" s="471" t="s">
        <v>321</v>
      </c>
      <c r="G6" s="471" t="s">
        <v>322</v>
      </c>
    </row>
    <row r="7" spans="4:7" ht="64.5" customHeight="1" x14ac:dyDescent="0.15">
      <c r="D7" s="909"/>
      <c r="E7" s="472"/>
      <c r="F7" s="472"/>
      <c r="G7" s="472"/>
    </row>
    <row r="8" spans="4:7" ht="20.25" customHeight="1" x14ac:dyDescent="0.15">
      <c r="D8" s="909"/>
      <c r="E8" s="473" t="s">
        <v>371</v>
      </c>
      <c r="F8" s="473" t="s">
        <v>366</v>
      </c>
      <c r="G8" s="473" t="s">
        <v>424</v>
      </c>
    </row>
    <row r="9" spans="4:7" ht="20.25" customHeight="1" x14ac:dyDescent="0.15">
      <c r="D9" s="910"/>
      <c r="E9" s="473" t="s">
        <v>323</v>
      </c>
      <c r="F9" s="473" t="s">
        <v>323</v>
      </c>
      <c r="G9" s="473" t="s">
        <v>324</v>
      </c>
    </row>
  </sheetData>
  <mergeCells count="1">
    <mergeCell ref="D6:D9"/>
  </mergeCells>
  <phoneticPr fontId="38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89C78-7DB3-4FC6-B10B-5D037071F174}">
  <sheetPr codeName="Sheet12"/>
  <dimension ref="A1:H13"/>
  <sheetViews>
    <sheetView workbookViewId="0"/>
  </sheetViews>
  <sheetFormatPr defaultRowHeight="17.25" x14ac:dyDescent="0.3"/>
  <cols>
    <col min="1" max="1" width="12.75" style="715" bestFit="1" customWidth="1"/>
    <col min="2" max="8" width="8.75" style="715"/>
  </cols>
  <sheetData>
    <row r="1" spans="1:8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x14ac:dyDescent="0.3">
      <c r="A2" s="716">
        <v>45688</v>
      </c>
    </row>
    <row r="3" spans="1:8" x14ac:dyDescent="0.3">
      <c r="A3" s="716">
        <v>45716</v>
      </c>
    </row>
    <row r="4" spans="1:8" x14ac:dyDescent="0.3">
      <c r="A4" s="716">
        <v>45747</v>
      </c>
    </row>
    <row r="5" spans="1:8" x14ac:dyDescent="0.3">
      <c r="A5" s="716">
        <v>45777</v>
      </c>
    </row>
    <row r="6" spans="1:8" x14ac:dyDescent="0.3">
      <c r="A6" s="716">
        <v>45808</v>
      </c>
    </row>
    <row r="7" spans="1:8" x14ac:dyDescent="0.3">
      <c r="A7" s="716">
        <v>45838</v>
      </c>
    </row>
    <row r="8" spans="1:8" x14ac:dyDescent="0.3">
      <c r="A8" s="716">
        <v>45869</v>
      </c>
    </row>
    <row r="9" spans="1:8" x14ac:dyDescent="0.3">
      <c r="A9" s="716">
        <v>45900</v>
      </c>
    </row>
    <row r="10" spans="1:8" x14ac:dyDescent="0.3">
      <c r="A10" s="716">
        <v>45930</v>
      </c>
    </row>
    <row r="11" spans="1:8" x14ac:dyDescent="0.3">
      <c r="A11" s="716">
        <v>45961</v>
      </c>
    </row>
    <row r="12" spans="1:8" x14ac:dyDescent="0.3">
      <c r="A12" s="716">
        <v>45991</v>
      </c>
    </row>
    <row r="13" spans="1:8" x14ac:dyDescent="0.3">
      <c r="A13" s="716">
        <v>46022</v>
      </c>
    </row>
  </sheetData>
  <phoneticPr fontId="38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A0676-0D20-4474-A195-A19DC786D51F}">
  <sheetPr codeName="Sheet13"/>
  <dimension ref="A1:H13"/>
  <sheetViews>
    <sheetView workbookViewId="0"/>
  </sheetViews>
  <sheetFormatPr defaultRowHeight="14.25" x14ac:dyDescent="0.15"/>
  <sheetData>
    <row r="1" spans="1:8" ht="17.25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ht="17.25" x14ac:dyDescent="0.3">
      <c r="A2" s="716">
        <v>45688</v>
      </c>
      <c r="B2" s="715"/>
      <c r="C2" s="715"/>
      <c r="D2" s="715"/>
      <c r="E2" s="715"/>
      <c r="F2" s="715"/>
      <c r="G2" s="715"/>
      <c r="H2" s="715"/>
    </row>
    <row r="3" spans="1:8" ht="17.25" x14ac:dyDescent="0.3">
      <c r="A3" s="716">
        <v>45716</v>
      </c>
      <c r="B3" s="715"/>
      <c r="C3" s="715"/>
      <c r="D3" s="715"/>
      <c r="E3" s="715"/>
      <c r="F3" s="715"/>
      <c r="G3" s="715"/>
      <c r="H3" s="715"/>
    </row>
    <row r="4" spans="1:8" ht="17.25" x14ac:dyDescent="0.3">
      <c r="A4" s="716">
        <v>45747</v>
      </c>
      <c r="B4" s="715"/>
      <c r="C4" s="715"/>
      <c r="D4" s="715"/>
      <c r="E4" s="715"/>
      <c r="F4" s="715"/>
      <c r="G4" s="715"/>
      <c r="H4" s="715"/>
    </row>
    <row r="5" spans="1:8" ht="17.25" x14ac:dyDescent="0.3">
      <c r="A5" s="716">
        <v>45777</v>
      </c>
      <c r="B5" s="715"/>
      <c r="C5" s="715"/>
      <c r="D5" s="715"/>
      <c r="E5" s="715"/>
      <c r="F5" s="715"/>
      <c r="G5" s="715"/>
      <c r="H5" s="715"/>
    </row>
    <row r="6" spans="1:8" ht="17.25" x14ac:dyDescent="0.3">
      <c r="A6" s="716">
        <v>45808</v>
      </c>
      <c r="B6" s="715"/>
      <c r="C6" s="715"/>
      <c r="D6" s="715"/>
      <c r="E6" s="715"/>
      <c r="F6" s="715"/>
      <c r="G6" s="715"/>
      <c r="H6" s="715"/>
    </row>
    <row r="7" spans="1:8" ht="17.25" x14ac:dyDescent="0.3">
      <c r="A7" s="716">
        <v>45838</v>
      </c>
      <c r="B7" s="715"/>
      <c r="C7" s="715"/>
      <c r="D7" s="715"/>
      <c r="E7" s="715"/>
      <c r="F7" s="715"/>
      <c r="G7" s="715"/>
      <c r="H7" s="715"/>
    </row>
    <row r="8" spans="1:8" ht="17.25" x14ac:dyDescent="0.3">
      <c r="A8" s="716">
        <v>45869</v>
      </c>
      <c r="B8" s="715"/>
      <c r="C8" s="715"/>
      <c r="D8" s="715"/>
      <c r="E8" s="715"/>
      <c r="F8" s="715"/>
      <c r="G8" s="715"/>
      <c r="H8" s="715"/>
    </row>
    <row r="9" spans="1:8" ht="17.25" x14ac:dyDescent="0.3">
      <c r="A9" s="716">
        <v>45900</v>
      </c>
      <c r="B9" s="715"/>
      <c r="C9" s="715"/>
      <c r="D9" s="715"/>
      <c r="E9" s="715"/>
      <c r="F9" s="715"/>
      <c r="G9" s="715"/>
      <c r="H9" s="715"/>
    </row>
    <row r="10" spans="1:8" ht="17.25" x14ac:dyDescent="0.3">
      <c r="A10" s="716">
        <v>45930</v>
      </c>
      <c r="B10" s="715"/>
      <c r="C10" s="715"/>
      <c r="D10" s="715"/>
      <c r="E10" s="715"/>
      <c r="F10" s="715"/>
      <c r="G10" s="715"/>
      <c r="H10" s="715"/>
    </row>
    <row r="11" spans="1:8" ht="17.25" x14ac:dyDescent="0.3">
      <c r="A11" s="716">
        <v>45961</v>
      </c>
      <c r="B11" s="715"/>
      <c r="C11" s="715"/>
      <c r="D11" s="715"/>
      <c r="E11" s="715"/>
      <c r="F11" s="715"/>
      <c r="G11" s="715"/>
      <c r="H11" s="715"/>
    </row>
    <row r="12" spans="1:8" ht="17.25" x14ac:dyDescent="0.3">
      <c r="A12" s="716">
        <v>45991</v>
      </c>
      <c r="B12" s="715"/>
      <c r="C12" s="715"/>
      <c r="D12" s="715"/>
      <c r="E12" s="715"/>
      <c r="F12" s="715"/>
      <c r="G12" s="715"/>
      <c r="H12" s="715"/>
    </row>
    <row r="13" spans="1:8" ht="17.25" x14ac:dyDescent="0.3">
      <c r="A13" s="716">
        <v>46022</v>
      </c>
      <c r="B13" s="715"/>
      <c r="C13" s="715"/>
      <c r="D13" s="715"/>
      <c r="E13" s="715"/>
      <c r="F13" s="715"/>
      <c r="G13" s="715"/>
      <c r="H13" s="715"/>
    </row>
  </sheetData>
  <phoneticPr fontId="3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F1CCE-2901-4E6B-B9D3-8884E9608905}">
  <sheetPr codeName="Sheet14"/>
  <dimension ref="A1:H13"/>
  <sheetViews>
    <sheetView workbookViewId="0"/>
  </sheetViews>
  <sheetFormatPr defaultRowHeight="14.25" x14ac:dyDescent="0.15"/>
  <sheetData>
    <row r="1" spans="1:8" ht="17.25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ht="17.25" x14ac:dyDescent="0.3">
      <c r="A2" s="716">
        <v>45688</v>
      </c>
      <c r="B2" s="715"/>
      <c r="C2" s="715"/>
      <c r="D2" s="715"/>
      <c r="E2" s="715"/>
      <c r="F2" s="715"/>
      <c r="G2" s="715"/>
      <c r="H2" s="715"/>
    </row>
    <row r="3" spans="1:8" ht="17.25" x14ac:dyDescent="0.3">
      <c r="A3" s="716">
        <v>45716</v>
      </c>
      <c r="B3" s="715"/>
      <c r="C3" s="715"/>
      <c r="D3" s="715"/>
      <c r="E3" s="715"/>
      <c r="F3" s="715"/>
      <c r="G3" s="715"/>
      <c r="H3" s="715"/>
    </row>
    <row r="4" spans="1:8" ht="17.25" x14ac:dyDescent="0.3">
      <c r="A4" s="716">
        <v>45747</v>
      </c>
      <c r="B4" s="715"/>
      <c r="C4" s="715"/>
      <c r="D4" s="715"/>
      <c r="E4" s="715"/>
      <c r="F4" s="715"/>
      <c r="G4" s="715"/>
      <c r="H4" s="715"/>
    </row>
    <row r="5" spans="1:8" ht="17.25" x14ac:dyDescent="0.3">
      <c r="A5" s="716">
        <v>45777</v>
      </c>
      <c r="B5" s="715"/>
      <c r="C5" s="715"/>
      <c r="D5" s="715"/>
      <c r="E5" s="715"/>
      <c r="F5" s="715"/>
      <c r="G5" s="715"/>
      <c r="H5" s="715"/>
    </row>
    <row r="6" spans="1:8" ht="17.25" x14ac:dyDescent="0.3">
      <c r="A6" s="716">
        <v>45808</v>
      </c>
      <c r="B6" s="715"/>
      <c r="C6" s="715"/>
      <c r="D6" s="715"/>
      <c r="E6" s="715"/>
      <c r="F6" s="715"/>
      <c r="G6" s="715"/>
      <c r="H6" s="715"/>
    </row>
    <row r="7" spans="1:8" ht="17.25" x14ac:dyDescent="0.3">
      <c r="A7" s="716">
        <v>45838</v>
      </c>
      <c r="B7" s="715"/>
      <c r="C7" s="715"/>
      <c r="D7" s="715"/>
      <c r="E7" s="715"/>
      <c r="F7" s="715"/>
      <c r="G7" s="715"/>
      <c r="H7" s="715"/>
    </row>
    <row r="8" spans="1:8" ht="17.25" x14ac:dyDescent="0.3">
      <c r="A8" s="716">
        <v>45869</v>
      </c>
      <c r="B8" s="715"/>
      <c r="C8" s="715"/>
      <c r="D8" s="715"/>
      <c r="E8" s="715"/>
      <c r="F8" s="715"/>
      <c r="G8" s="715"/>
      <c r="H8" s="715"/>
    </row>
    <row r="9" spans="1:8" ht="17.25" x14ac:dyDescent="0.3">
      <c r="A9" s="716">
        <v>45900</v>
      </c>
      <c r="B9" s="715"/>
      <c r="C9" s="715"/>
      <c r="D9" s="715"/>
      <c r="E9" s="715"/>
      <c r="F9" s="715"/>
      <c r="G9" s="715"/>
      <c r="H9" s="715"/>
    </row>
    <row r="10" spans="1:8" ht="17.25" x14ac:dyDescent="0.3">
      <c r="A10" s="716">
        <v>45930</v>
      </c>
      <c r="B10" s="715"/>
      <c r="C10" s="715"/>
      <c r="D10" s="715"/>
      <c r="E10" s="715"/>
      <c r="F10" s="715"/>
      <c r="G10" s="715"/>
      <c r="H10" s="715"/>
    </row>
    <row r="11" spans="1:8" ht="17.25" x14ac:dyDescent="0.3">
      <c r="A11" s="716">
        <v>45961</v>
      </c>
      <c r="B11" s="715"/>
      <c r="C11" s="715"/>
      <c r="D11" s="715"/>
      <c r="E11" s="715"/>
      <c r="F11" s="715"/>
      <c r="G11" s="715"/>
      <c r="H11" s="715"/>
    </row>
    <row r="12" spans="1:8" ht="17.25" x14ac:dyDescent="0.3">
      <c r="A12" s="716">
        <v>45991</v>
      </c>
      <c r="B12" s="715"/>
      <c r="C12" s="715"/>
      <c r="D12" s="715"/>
      <c r="E12" s="715"/>
      <c r="F12" s="715"/>
      <c r="G12" s="715"/>
      <c r="H12" s="715"/>
    </row>
    <row r="13" spans="1:8" ht="17.25" x14ac:dyDescent="0.3">
      <c r="A13" s="716">
        <v>46022</v>
      </c>
      <c r="B13" s="715"/>
      <c r="C13" s="715"/>
      <c r="D13" s="715"/>
      <c r="E13" s="715"/>
      <c r="F13" s="715"/>
      <c r="G13" s="715"/>
      <c r="H13" s="715"/>
    </row>
  </sheetData>
  <phoneticPr fontId="38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170B9-5BA4-45C8-A3FB-B2484A653BB2}">
  <sheetPr codeName="Sheet15"/>
  <dimension ref="A1:H13"/>
  <sheetViews>
    <sheetView workbookViewId="0"/>
  </sheetViews>
  <sheetFormatPr defaultRowHeight="14.25" x14ac:dyDescent="0.15"/>
  <sheetData>
    <row r="1" spans="1:8" ht="17.25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ht="17.25" x14ac:dyDescent="0.3">
      <c r="A2" s="716">
        <v>45688</v>
      </c>
      <c r="B2" s="715"/>
      <c r="C2" s="715"/>
      <c r="D2" s="715"/>
      <c r="E2" s="715"/>
      <c r="F2" s="715"/>
      <c r="G2" s="715"/>
      <c r="H2" s="715"/>
    </row>
    <row r="3" spans="1:8" ht="17.25" x14ac:dyDescent="0.3">
      <c r="A3" s="716">
        <v>45716</v>
      </c>
      <c r="B3" s="715"/>
      <c r="C3" s="715"/>
      <c r="D3" s="715"/>
      <c r="E3" s="715"/>
      <c r="F3" s="715"/>
      <c r="G3" s="715"/>
      <c r="H3" s="715"/>
    </row>
    <row r="4" spans="1:8" ht="17.25" x14ac:dyDescent="0.3">
      <c r="A4" s="716">
        <v>45747</v>
      </c>
      <c r="B4" s="715"/>
      <c r="C4" s="715"/>
      <c r="D4" s="715"/>
      <c r="E4" s="715"/>
      <c r="F4" s="715"/>
      <c r="G4" s="715"/>
      <c r="H4" s="715"/>
    </row>
    <row r="5" spans="1:8" ht="17.25" x14ac:dyDescent="0.3">
      <c r="A5" s="716">
        <v>45777</v>
      </c>
      <c r="B5" s="715"/>
      <c r="C5" s="715"/>
      <c r="D5" s="715"/>
      <c r="E5" s="715"/>
      <c r="F5" s="715"/>
      <c r="G5" s="715"/>
      <c r="H5" s="715"/>
    </row>
    <row r="6" spans="1:8" ht="17.25" x14ac:dyDescent="0.3">
      <c r="A6" s="716">
        <v>45808</v>
      </c>
      <c r="B6" s="715"/>
      <c r="C6" s="715"/>
      <c r="D6" s="715"/>
      <c r="E6" s="715"/>
      <c r="F6" s="715"/>
      <c r="G6" s="715"/>
      <c r="H6" s="715"/>
    </row>
    <row r="7" spans="1:8" ht="17.25" x14ac:dyDescent="0.3">
      <c r="A7" s="716">
        <v>45838</v>
      </c>
      <c r="B7" s="715"/>
      <c r="C7" s="715"/>
      <c r="D7" s="715"/>
      <c r="E7" s="715"/>
      <c r="F7" s="715"/>
      <c r="G7" s="715"/>
      <c r="H7" s="715"/>
    </row>
    <row r="8" spans="1:8" ht="17.25" x14ac:dyDescent="0.3">
      <c r="A8" s="716">
        <v>45869</v>
      </c>
      <c r="B8" s="715"/>
      <c r="C8" s="715"/>
      <c r="D8" s="715"/>
      <c r="E8" s="715"/>
      <c r="F8" s="715"/>
      <c r="G8" s="715"/>
      <c r="H8" s="715"/>
    </row>
    <row r="9" spans="1:8" ht="17.25" x14ac:dyDescent="0.3">
      <c r="A9" s="716">
        <v>45900</v>
      </c>
      <c r="B9" s="715"/>
      <c r="C9" s="715"/>
      <c r="D9" s="715"/>
      <c r="E9" s="715"/>
      <c r="F9" s="715"/>
      <c r="G9" s="715"/>
      <c r="H9" s="715"/>
    </row>
    <row r="10" spans="1:8" ht="17.25" x14ac:dyDescent="0.3">
      <c r="A10" s="716">
        <v>45930</v>
      </c>
      <c r="B10" s="715"/>
      <c r="C10" s="715"/>
      <c r="D10" s="715"/>
      <c r="E10" s="715"/>
      <c r="F10" s="715"/>
      <c r="G10" s="715"/>
      <c r="H10" s="715"/>
    </row>
    <row r="11" spans="1:8" ht="17.25" x14ac:dyDescent="0.3">
      <c r="A11" s="716">
        <v>45961</v>
      </c>
      <c r="B11" s="715"/>
      <c r="C11" s="715"/>
      <c r="D11" s="715"/>
      <c r="E11" s="715"/>
      <c r="F11" s="715"/>
      <c r="G11" s="715"/>
      <c r="H11" s="715"/>
    </row>
    <row r="12" spans="1:8" ht="17.25" x14ac:dyDescent="0.3">
      <c r="A12" s="716">
        <v>45991</v>
      </c>
      <c r="B12" s="715"/>
      <c r="C12" s="715"/>
      <c r="D12" s="715"/>
      <c r="E12" s="715"/>
      <c r="F12" s="715"/>
      <c r="G12" s="715"/>
      <c r="H12" s="715"/>
    </row>
    <row r="13" spans="1:8" ht="17.25" x14ac:dyDescent="0.3">
      <c r="A13" s="716">
        <v>46022</v>
      </c>
      <c r="B13" s="715"/>
      <c r="C13" s="715"/>
      <c r="D13" s="715"/>
      <c r="E13" s="715"/>
      <c r="F13" s="715"/>
      <c r="G13" s="715"/>
      <c r="H13" s="715"/>
    </row>
  </sheetData>
  <phoneticPr fontId="3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10</vt:i4>
      </vt:variant>
    </vt:vector>
  </HeadingPairs>
  <TitlesOfParts>
    <vt:vector size="26" baseType="lpstr">
      <vt:lpstr>영업현황</vt:lpstr>
      <vt:lpstr>영업일보</vt:lpstr>
      <vt:lpstr>공급량</vt:lpstr>
      <vt:lpstr>영업일보 분석</vt:lpstr>
      <vt:lpstr>공급전 계획(2026년)</vt:lpstr>
      <vt:lpstr>계약전 계획(2026년)</vt:lpstr>
      <vt:lpstr>공급량 계획_MJ(2026년)</vt:lpstr>
      <vt:lpstr>공급량 계획_㎥(2024년)</vt:lpstr>
      <vt:lpstr>공동주택 계획(2026년)</vt:lpstr>
      <vt:lpstr>업무용 공급전 관리</vt:lpstr>
      <vt:lpstr>작성방법</vt:lpstr>
      <vt:lpstr>결재란</vt:lpstr>
      <vt:lpstr>월별실적증감</vt:lpstr>
      <vt:lpstr>월별공급전증감</vt:lpstr>
      <vt:lpstr>월별폐전증감</vt:lpstr>
      <vt:lpstr>월별용도변경</vt:lpstr>
      <vt:lpstr>영업일보!Print_Area</vt:lpstr>
      <vt:lpstr>'영업일보 분석'!Print_Area</vt:lpstr>
      <vt:lpstr>영업현황!Print_Area</vt:lpstr>
      <vt:lpstr>'계약전 계획(2026년)'!계약전계획</vt:lpstr>
      <vt:lpstr>계약전계획</vt:lpstr>
      <vt:lpstr>공급량</vt:lpstr>
      <vt:lpstr>'공급전 계획(2026년)'!공급전계획</vt:lpstr>
      <vt:lpstr>공급전계획</vt:lpstr>
      <vt:lpstr>'공급량 계획_MJ(2026년)'!판매량계획</vt:lpstr>
      <vt:lpstr>판매량계획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게시판 읽기</dc:title>
  <dc:creator>대구도시가스(주)</dc:creator>
  <cp:lastModifiedBy>최 한엽</cp:lastModifiedBy>
  <cp:lastPrinted>2026-07-03T04:21:49Z</cp:lastPrinted>
  <dcterms:created xsi:type="dcterms:W3CDTF">1996-12-23T01:00:32Z</dcterms:created>
  <dcterms:modified xsi:type="dcterms:W3CDTF">2026-08-03T00:48:17Z</dcterms:modified>
</cp:coreProperties>
</file>